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IGABYTE\Desktop\pbl6\backend\backend\src\test\resources\excel\User\"/>
    </mc:Choice>
  </mc:AlternateContent>
  <xr:revisionPtr revIDLastSave="0" documentId="13_ncr:1_{DEC1BE39-6192-462D-AC36-FB459F5CF2AC}" xr6:coauthVersionLast="47" xr6:coauthVersionMax="47" xr10:uidLastSave="{00000000-0000-0000-0000-000000000000}"/>
  <bookViews>
    <workbookView xWindow="-108" yWindow="-108" windowWidth="23256" windowHeight="12456" tabRatio="821" activeTab="7" xr2:uid="{00000000-000D-0000-FFFF-FFFF00000000}"/>
  </bookViews>
  <sheets>
    <sheet name="Cover" sheetId="9" r:id="rId1"/>
    <sheet name="Test Cases" sheetId="2" r:id="rId2"/>
    <sheet name="CreateUser" sheetId="16" r:id="rId3"/>
    <sheet name="UpdateUser" sheetId="19" r:id="rId4"/>
    <sheet name="DeleteUser" sheetId="20" r:id="rId5"/>
    <sheet name="GetMyInfo" sheetId="22" r:id="rId6"/>
    <sheet name="GetUser" sheetId="21" r:id="rId7"/>
    <sheet name="Test Statistics" sheetId="5" r:id="rId8"/>
    <sheet name="Crop Management" sheetId="11" state="hidden" r:id="rId9"/>
  </sheets>
  <definedNames>
    <definedName name="_xlnm._FilterDatabase" localSheetId="2" hidden="1">CreateUser!$A$10:$O$13</definedName>
    <definedName name="_xlnm._FilterDatabase" localSheetId="8" hidden="1">'Crop Management'!$A$10:$O$17</definedName>
    <definedName name="_xlnm._FilterDatabase" localSheetId="4" hidden="1">DeleteUser!$A$10:$P$13</definedName>
    <definedName name="_xlnm._FilterDatabase" localSheetId="5" hidden="1">GetMyInfo!$A$10:$P$13</definedName>
    <definedName name="_xlnm._FilterDatabase" localSheetId="6" hidden="1">GetUser!$A$10:$P$13</definedName>
    <definedName name="_xlnm._FilterDatabase" localSheetId="3" hidden="1">UpdateUser!$A$10:$P$13</definedName>
    <definedName name="ACTION" localSheetId="0">#REF!</definedName>
    <definedName name="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5" l="1"/>
  <c r="H14" i="5"/>
  <c r="H13" i="5"/>
  <c r="H12" i="5"/>
  <c r="H11" i="5"/>
  <c r="E13" i="5"/>
  <c r="D13" i="5"/>
  <c r="E15" i="5"/>
  <c r="E14" i="5"/>
  <c r="E12" i="5"/>
  <c r="E11" i="5"/>
  <c r="D11" i="5"/>
  <c r="D12" i="5"/>
  <c r="D14" i="5"/>
  <c r="D15" i="5"/>
  <c r="C15" i="5"/>
  <c r="C13" i="5"/>
  <c r="C14" i="5"/>
  <c r="C12" i="5"/>
  <c r="C11" i="5"/>
  <c r="H16" i="5" l="1"/>
  <c r="G16" i="5"/>
  <c r="F16" i="5"/>
  <c r="E16" i="5"/>
  <c r="D16" i="5"/>
  <c r="E19" i="5" l="1"/>
  <c r="E18" i="5"/>
  <c r="F8" i="22" l="1"/>
  <c r="D8" i="22"/>
  <c r="C8" i="22"/>
  <c r="B8" i="22"/>
  <c r="F7" i="22"/>
  <c r="D7" i="22"/>
  <c r="C7" i="22"/>
  <c r="B7" i="22"/>
  <c r="F6" i="22"/>
  <c r="D6" i="22"/>
  <c r="C6" i="22"/>
  <c r="B6" i="22"/>
  <c r="B4" i="22"/>
  <c r="F8" i="21"/>
  <c r="D8" i="21"/>
  <c r="C8" i="21"/>
  <c r="B8" i="21"/>
  <c r="F7" i="21"/>
  <c r="D7" i="21"/>
  <c r="C7" i="21"/>
  <c r="B7" i="21"/>
  <c r="F6" i="21"/>
  <c r="D6" i="21"/>
  <c r="C6" i="21"/>
  <c r="B6" i="21"/>
  <c r="B4" i="21"/>
  <c r="F8" i="20"/>
  <c r="D8" i="20"/>
  <c r="C8" i="20"/>
  <c r="B8" i="20"/>
  <c r="F7" i="20"/>
  <c r="D7" i="20"/>
  <c r="C7" i="20"/>
  <c r="B7" i="20"/>
  <c r="F6" i="20"/>
  <c r="D6" i="20"/>
  <c r="C6" i="20"/>
  <c r="B6" i="20"/>
  <c r="B4" i="20"/>
  <c r="F8" i="19"/>
  <c r="D8" i="19"/>
  <c r="C8" i="19"/>
  <c r="B8" i="19"/>
  <c r="F7" i="19"/>
  <c r="D7" i="19"/>
  <c r="C7" i="19"/>
  <c r="B7" i="19"/>
  <c r="F6" i="19"/>
  <c r="D6" i="19"/>
  <c r="C6" i="19"/>
  <c r="B6" i="19"/>
  <c r="B4" i="19"/>
  <c r="C6" i="16"/>
  <c r="B6" i="16"/>
  <c r="D6" i="16"/>
  <c r="B4" i="16"/>
  <c r="E8" i="16"/>
  <c r="D8" i="16"/>
  <c r="C8" i="16"/>
  <c r="B8" i="16"/>
  <c r="E7" i="16"/>
  <c r="D7" i="16"/>
  <c r="C7" i="16"/>
  <c r="B7" i="16"/>
  <c r="E6" i="16"/>
  <c r="H5" i="5"/>
  <c r="E8" i="11"/>
  <c r="D8" i="11"/>
  <c r="C8" i="11"/>
  <c r="B8" i="11"/>
  <c r="E7" i="11"/>
  <c r="D7" i="11"/>
  <c r="C7" i="11"/>
  <c r="B7" i="11"/>
  <c r="E6" i="11"/>
  <c r="D6" i="11"/>
  <c r="C6" i="11"/>
  <c r="B6" i="11"/>
  <c r="B4" i="11"/>
  <c r="H3" i="5" l="1"/>
  <c r="C4" i="5"/>
  <c r="C3" i="5"/>
  <c r="D3" i="2"/>
  <c r="D4" i="2"/>
  <c r="B6" i="9"/>
  <c r="C5"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 authorId="0" shapeId="0" xr:uid="{C47225F5-221F-9443-B842-2F7F73318C79}">
      <text>
        <r>
          <rPr>
            <b/>
            <sz val="8"/>
            <color indexed="81"/>
            <rFont val="Tahoma"/>
            <family val="2"/>
          </rPr>
          <t>*A</t>
        </r>
        <r>
          <rPr>
            <sz val="8"/>
            <color indexed="81"/>
            <rFont val="Tahoma"/>
            <family val="2"/>
          </rPr>
          <t xml:space="preserve">: Add
  </t>
        </r>
        <r>
          <rPr>
            <b/>
            <sz val="8"/>
            <color indexed="81"/>
            <rFont val="Tahoma"/>
            <family val="2"/>
          </rPr>
          <t>M</t>
        </r>
        <r>
          <rPr>
            <sz val="8"/>
            <color indexed="81"/>
            <rFont val="Tahoma"/>
            <family val="2"/>
          </rPr>
          <t xml:space="preserve">: Modify
  </t>
        </r>
        <r>
          <rPr>
            <b/>
            <sz val="8"/>
            <color indexed="81"/>
            <rFont val="Tahoma"/>
            <family val="2"/>
          </rPr>
          <t>D</t>
        </r>
        <r>
          <rPr>
            <sz val="8"/>
            <color indexed="81"/>
            <rFont val="Tahoma"/>
            <family val="2"/>
          </rPr>
          <t xml:space="preserve">: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78BCC178-5D48-433D-B26F-2B38761FF35D}">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F10" authorId="0" shapeId="0" xr:uid="{8597786E-53D4-4607-B86A-3457A19D987B}">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F10" authorId="0" shapeId="0" xr:uid="{30FFBE9A-A122-443A-9501-A2CF2EAB9929}">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F10" authorId="0" shapeId="0" xr:uid="{3A56325F-7620-4DC3-9870-668ED671EC25}">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F10" authorId="0" shapeId="0" xr:uid="{754DA47C-D03C-4848-8215-6F460C38EFE2}">
      <text>
        <r>
          <rPr>
            <sz val="8"/>
            <color rgb="FF000000"/>
            <rFont val="Tahoma"/>
            <family val="2"/>
          </rPr>
          <t>List all test cases (must run before this case), conditions that must be done, or required state that the system should be in before performing this case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tqsang</author>
  </authors>
  <commentList>
    <comment ref="E10" authorId="0" shapeId="0" xr:uid="{7DEB4D70-91AC-4F88-9F41-A5A3C0CCF234}">
      <text>
        <r>
          <rPr>
            <sz val="8"/>
            <color rgb="FF000000"/>
            <rFont val="Tahoma"/>
            <family val="2"/>
          </rPr>
          <t>List all test cases (must run before this case), conditions that must be done, or required state that the system should be in before performing this case</t>
        </r>
      </text>
    </comment>
  </commentList>
</comments>
</file>

<file path=xl/sharedStrings.xml><?xml version="1.0" encoding="utf-8"?>
<sst xmlns="http://schemas.openxmlformats.org/spreadsheetml/2006/main" count="396" uniqueCount="147">
  <si>
    <t>TEST REPORT DOCUMENT</t>
  </si>
  <si>
    <t>Project Name</t>
  </si>
  <si>
    <t>Hệ thống giám sát an toàn công trường</t>
  </si>
  <si>
    <t>Creator</t>
  </si>
  <si>
    <t>Project Code</t>
  </si>
  <si>
    <t>PBL6</t>
  </si>
  <si>
    <t>Issue Date</t>
  </si>
  <si>
    <t>20/09/2025</t>
  </si>
  <si>
    <t>Document Code</t>
  </si>
  <si>
    <t>Version</t>
  </si>
  <si>
    <t>Record of change</t>
  </si>
  <si>
    <t>Effective Date</t>
  </si>
  <si>
    <t>Change Item</t>
  </si>
  <si>
    <t>*A,D,M</t>
  </si>
  <si>
    <t>Change description</t>
  </si>
  <si>
    <t>Reference</t>
  </si>
  <si>
    <t>A</t>
  </si>
  <si>
    <t>TEST CASE LIST</t>
  </si>
  <si>
    <t>Test Environment Setup Description</t>
  </si>
  <si>
    <t>1. Server
Hệ điều hành: Ubuntu 22.04 LTS 
Web server: Apache Tomcat / Nginx
Backend: Java Spring Boot 
2. Database
Hệ quản trị cơ sở dữ liệu: MySQL 8.0
3. Web Browser
Google Chrome (phiên bản mới nhất)
4. Client Machines
OS: Windows 10/11, Ubuntu Desktop 22.04
Mạng: kết nối internet ổn định
5. Additional Tools
Postman (test API)
Selenium, Artillery (test automation UI)
JMeter (test hiệu năng)</t>
  </si>
  <si>
    <t>No</t>
  </si>
  <si>
    <t>Function Name</t>
  </si>
  <si>
    <t>Sheet Name</t>
  </si>
  <si>
    <t>Description</t>
  </si>
  <si>
    <t>Pre-Condition</t>
  </si>
  <si>
    <t>Người dùng đã đăng nhập thành công.</t>
  </si>
  <si>
    <t>TEST STATISTICS</t>
  </si>
  <si>
    <t>Reviewer/Approver</t>
  </si>
  <si>
    <t>Notes</t>
  </si>
  <si>
    <t>Module code</t>
  </si>
  <si>
    <t>Passed</t>
  </si>
  <si>
    <t>Failed</t>
  </si>
  <si>
    <t>Pending</t>
  </si>
  <si>
    <t>N/A</t>
  </si>
  <si>
    <t>Number of  test cases</t>
  </si>
  <si>
    <t>Sub total</t>
  </si>
  <si>
    <t>Test coverage</t>
  </si>
  <si>
    <t>%</t>
  </si>
  <si>
    <t>Test successful coverage</t>
  </si>
  <si>
    <t>Feature</t>
  </si>
  <si>
    <t>Test requirement</t>
  </si>
  <si>
    <t>Number of TCs</t>
  </si>
  <si>
    <t>Testing Round</t>
  </si>
  <si>
    <t>Round 1</t>
  </si>
  <si>
    <t>Round 2</t>
  </si>
  <si>
    <t>Round 3</t>
  </si>
  <si>
    <t>Test Case ID</t>
  </si>
  <si>
    <t>Test Case Description</t>
  </si>
  <si>
    <t>Test Case Procedure</t>
  </si>
  <si>
    <t>Expected Results</t>
  </si>
  <si>
    <t>Pre-conditions</t>
  </si>
  <si>
    <t>Test date</t>
  </si>
  <si>
    <t>Tester</t>
  </si>
  <si>
    <t>Note</t>
  </si>
  <si>
    <t>&lt;Crop Management&gt;</t>
  </si>
  <si>
    <t>&lt;Brief description about requirements which are tested in this sheet&gt;</t>
  </si>
  <si>
    <t>Function D</t>
  </si>
  <si>
    <t>&lt;ID1&gt;</t>
  </si>
  <si>
    <r>
      <t xml:space="preserve">&lt;Brief description of this case: what is tested?&gt;
</t>
    </r>
    <r>
      <rPr>
        <sz val="10"/>
        <rFont val="Tahoma"/>
        <family val="2"/>
      </rPr>
      <t>Ex: Test viewing "Company" form.</t>
    </r>
  </si>
  <si>
    <r>
      <t xml:space="preserve">&lt;Describe steps to perform this case&gt;
</t>
    </r>
    <r>
      <rPr>
        <sz val="10"/>
        <rFont val="Tahoma"/>
        <family val="2"/>
      </rPr>
      <t>Ex:
1. Login the system with Manager role.
2. Click "Company" tab in the left menu.</t>
    </r>
  </si>
  <si>
    <r>
      <t xml:space="preserve">&lt;Describe results which meet customer's requirement&gt;
</t>
    </r>
    <r>
      <rPr>
        <sz val="10"/>
        <color indexed="8"/>
        <rFont val="Tahoma"/>
        <family val="2"/>
      </rPr>
      <t>Ex:
The "Company" view form is displayed with the folowing informations:
- Company name
- Company address
- Phone
- Fax</t>
    </r>
  </si>
  <si>
    <t xml:space="preserve">&lt;List all test cases or conditions that must be done before performing this case&gt;
</t>
  </si>
  <si>
    <t>&lt;ID2&gt;</t>
  </si>
  <si>
    <t>&lt;Test case 2&gt;</t>
  </si>
  <si>
    <t>&lt;ID3&gt;</t>
  </si>
  <si>
    <t>&lt;Test case 3&gt;</t>
  </si>
  <si>
    <t>Function E</t>
  </si>
  <si>
    <t>&lt;ID4&gt;</t>
  </si>
  <si>
    <t>&lt;Test case 4&gt;</t>
  </si>
  <si>
    <t>&lt;ID5&gt;</t>
  </si>
  <si>
    <t>&lt;Test case 5&gt;</t>
  </si>
  <si>
    <t>102220275_Lưu Võ Hoàng</t>
  </si>
  <si>
    <t>102220292_Lê Hữu Quý
102220272_Đặng Khắc Nhân Hiếu</t>
  </si>
  <si>
    <t>V1</t>
  </si>
  <si>
    <t xml:space="preserve">- Table Project Information.
- Table TestCase General.
</t>
  </si>
  <si>
    <t xml:space="preserve">Test Cases
</t>
  </si>
  <si>
    <t xml:space="preserve">- Table Project Information.
</t>
  </si>
  <si>
    <t>Điền thông tin Project Name, Project Code, Document Code, Creator, .Reviewer/Approver, Issue Date
.</t>
  </si>
  <si>
    <t>Test Statistics</t>
  </si>
  <si>
    <t xml:space="preserve">
- Table TestCase Detail.</t>
  </si>
  <si>
    <t>Ghi log hoạt động</t>
  </si>
  <si>
    <t>Function</t>
  </si>
  <si>
    <t>Quản lý hồ sơ</t>
  </si>
  <si>
    <t>Release 1 includes 4 modules: Đăng ký, Đăng nhập, Quản lý hồ sơ, Ghi log hoạt động.</t>
  </si>
  <si>
    <t>Yêu cầu: Hệ thống cần cho phép người dùng nhập thông tin đăng ký (tên, email, mật khẩu). Thông tin phải hợp lệ, không trùng lặp, mật khẩu được mã hóa và tài khoản chỉ được kích hoạt sau khi xác thực. Hệ thống cần phản hồi rõ ràng cho cả trường hợp thành công và lỗi, đồng thời đảm bảo bảo mật dữ liệu.</t>
  </si>
  <si>
    <t>Đăng ký</t>
  </si>
  <si>
    <t>Cho phép người dùng tạo một tài khoản mới bằng email và mật khẩu.</t>
  </si>
  <si>
    <t>Người dùng không có tài khoản. Kết nối internet ổn định.</t>
  </si>
  <si>
    <t>Đăng nhập</t>
  </si>
  <si>
    <t>Xác thực thông tin đăng nhập (username, mật khẩu) để truy cập hệ thống.</t>
  </si>
  <si>
    <t>Người dùng đã có tài khoản. tài khoản và mật khẩu phải chính xác.</t>
  </si>
  <si>
    <t>Cho phép người dùng xem và chỉnh sửa thông tin cá nhân (tên, email/số điện thoại, ảnh đại diện, mật khẩu).</t>
  </si>
  <si>
    <t>Hệ thống tự động ghi nhận các thao tác của người dùng (đăng nhập, đăng xuất, thay đổi thông tin, thao tác trên dashboard) và lưu vào cơ sở dữ liệu.</t>
  </si>
  <si>
    <t>Hệ thống đang chạy. cơ sở dữ liệu kết nối ổn định.</t>
  </si>
  <si>
    <t>Điền thông tin Project Name, Project Code, Test Environment Setup Description.
Liệt kê 4 function sẽ viết TC (Tên function, Description, Pre-Condition)</t>
  </si>
  <si>
    <t xml:space="preserve">Điền thông tin TC cho Function Đăng ký (Function, Test requirement).
Liệt kê các TC của chức năng (Tên Function, Test Case Description, Test Case Procedure
, Expected Results, Pre-conditions).
</t>
  </si>
  <si>
    <t xml:space="preserve">Điền thông tin TC cho Function Đăng nhập (Function, Test requirement).
Liệt kê các TC của chức năng (Tên Function, Test Case Description, Test Case Procedure
, Expected Results, Pre-conditions).
</t>
  </si>
  <si>
    <t xml:space="preserve">Điền thông tin TC cho Function Quản lý hồ sơ (Function, Test requirement).
Liệt kê các TC của chức năng (Tên Function, Test Case Description, Test Case Procedure
, Expected Results, Pre-conditions).
</t>
  </si>
  <si>
    <t xml:space="preserve">Điền thông tin TC cho Function Ghi log hoạt động (Function, Test requirement).
Liệt kê các TC của chức năng (Tên Function, Test Case Description, Test Case Procedure
, Expected Results, Pre-conditions).
</t>
  </si>
  <si>
    <t>TC1: Tạo thành công</t>
  </si>
  <si>
    <t>newuser</t>
  </si>
  <si>
    <t>new@email.com</t>
  </si>
  <si>
    <t>password123</t>
  </si>
  <si>
    <t>(để trống)</t>
  </si>
  <si>
    <t>TC2: Trùng username</t>
  </si>
  <si>
    <t>existing_user</t>
  </si>
  <si>
    <t>other@email.com</t>
  </si>
  <si>
    <t>USER_EXISTED</t>
  </si>
  <si>
    <t>TC3: Trùng email</t>
  </si>
  <si>
    <t>other_user</t>
  </si>
  <si>
    <t>existing@email.com</t>
  </si>
  <si>
    <t>INVALID_EMAIL</t>
  </si>
  <si>
    <t>TC2.1: Cập nhật thành công</t>
  </si>
  <si>
    <t>uuid-123</t>
  </si>
  <si>
    <t>newPass</t>
  </si>
  <si>
    <t>ADMIN,USER</t>
  </si>
  <si>
    <t>TC2.2: Cập nhật (không pass)</t>
  </si>
  <si>
    <t>new2@email.com</t>
  </si>
  <si>
    <t>ADMIN</t>
  </si>
  <si>
    <t>TC2.3: User không tồn tại</t>
  </si>
  <si>
    <t>uuid-999</t>
  </si>
  <si>
    <t>USER</t>
  </si>
  <si>
    <t>USER_NOT_EXISTED</t>
  </si>
  <si>
    <t>TC3.1: Xóa thành công</t>
  </si>
  <si>
    <t>TC4.1: Lấy thành công</t>
  </si>
  <si>
    <t>testuser</t>
  </si>
  <si>
    <t>TC4.2: User không tồn tại</t>
  </si>
  <si>
    <t>unknown</t>
  </si>
  <si>
    <t>TC1: Admin get any user</t>
  </si>
  <si>
    <t>user-123</t>
  </si>
  <si>
    <t>admin</t>
  </si>
  <si>
    <t>otheruser</t>
  </si>
  <si>
    <t>SUCCESS</t>
  </si>
  <si>
    <t>TC2: User get own info</t>
  </si>
  <si>
    <t>TC3: User get other user - Access Denied</t>
  </si>
  <si>
    <t>differentuser</t>
  </si>
  <si>
    <t>ACCESS_DENIED</t>
  </si>
  <si>
    <t>TC4: User not found</t>
  </si>
  <si>
    <t>non-existent</t>
  </si>
  <si>
    <t>TC5: Multiple roles get own info</t>
  </si>
  <si>
    <t>multiuser</t>
  </si>
  <si>
    <t>USER,EDITOR</t>
  </si>
  <si>
    <t>UpdateUser</t>
  </si>
  <si>
    <t>DeleteUser</t>
  </si>
  <si>
    <t>GetMyInfo</t>
  </si>
  <si>
    <t>GetUser</t>
  </si>
  <si>
    <t>CreateUser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</si>
</sst>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
    <numFmt numFmtId="165" formatCode="dd/mm/yyyy"/>
    <numFmt numFmtId="166" formatCode="d\.m"/>
  </numFmts>
  <fonts count="43">
    <font>
      <sz val="11"/>
      <name val="ＭＳ Ｐゴシック"/>
      <charset val="128"/>
    </font>
    <font>
      <sz val="11"/>
      <color theme="1"/>
      <name val="Calibri"/>
      <family val="2"/>
      <scheme val="minor"/>
    </font>
    <font>
      <sz val="9"/>
      <name val="ＭＳ ゴシック"/>
      <family val="3"/>
      <charset val="128"/>
    </font>
    <font>
      <sz val="10"/>
      <name val="Tahoma"/>
      <family val="2"/>
    </font>
    <font>
      <b/>
      <sz val="26"/>
      <color indexed="10"/>
      <name val="Tahoma"/>
      <family val="2"/>
    </font>
    <font>
      <b/>
      <sz val="20"/>
      <color indexed="8"/>
      <name val="Tahoma"/>
      <family val="2"/>
    </font>
    <font>
      <b/>
      <sz val="10"/>
      <color indexed="60"/>
      <name val="Tahoma"/>
      <family val="2"/>
    </font>
    <font>
      <i/>
      <sz val="10"/>
      <color indexed="17"/>
      <name val="Tahoma"/>
      <family val="2"/>
    </font>
    <font>
      <b/>
      <sz val="10"/>
      <color indexed="9"/>
      <name val="Tahoma"/>
      <family val="2"/>
    </font>
    <font>
      <b/>
      <sz val="10"/>
      <color indexed="8"/>
      <name val="Tahoma"/>
      <family val="2"/>
    </font>
    <font>
      <b/>
      <sz val="10"/>
      <color indexed="10"/>
      <name val="Tahoma"/>
      <family val="2"/>
    </font>
    <font>
      <b/>
      <sz val="10"/>
      <name val="Tahoma"/>
      <family val="2"/>
    </font>
    <font>
      <u/>
      <sz val="11"/>
      <color indexed="12"/>
      <name val="ＭＳ Ｐゴシック"/>
      <family val="3"/>
      <charset val="128"/>
    </font>
    <font>
      <sz val="10"/>
      <color indexed="10"/>
      <name val="Tahoma"/>
      <family val="2"/>
    </font>
    <font>
      <sz val="10"/>
      <color indexed="8"/>
      <name val="Tahoma"/>
      <family val="2"/>
    </font>
    <font>
      <sz val="10"/>
      <color indexed="9"/>
      <name val="Tahoma"/>
      <family val="2"/>
    </font>
    <font>
      <b/>
      <sz val="10"/>
      <color indexed="12"/>
      <name val="Tahoma"/>
      <family val="2"/>
    </font>
    <font>
      <sz val="11"/>
      <name val="ＭＳ Ｐゴシック"/>
      <family val="2"/>
      <charset val="128"/>
    </font>
    <font>
      <b/>
      <i/>
      <sz val="10"/>
      <name val="Tahoma"/>
      <family val="2"/>
    </font>
    <font>
      <sz val="8"/>
      <color rgb="FF000000"/>
      <name val="Tahoma"/>
      <family val="2"/>
    </font>
    <font>
      <sz val="11"/>
      <name val="ＭＳ Ｐゴシック"/>
      <family val="3"/>
      <charset val="128"/>
    </font>
    <font>
      <i/>
      <sz val="10"/>
      <name val="Tahoma"/>
      <family val="2"/>
    </font>
    <font>
      <b/>
      <sz val="8"/>
      <color indexed="81"/>
      <name val="Tahoma"/>
      <family val="2"/>
    </font>
    <font>
      <sz val="8"/>
      <color indexed="81"/>
      <name val="Tahoma"/>
      <family val="2"/>
    </font>
    <font>
      <sz val="10"/>
      <name val="Calibri"/>
      <scheme val="minor"/>
    </font>
    <font>
      <sz val="10"/>
      <color theme="1"/>
      <name val="Calibri"/>
      <scheme val="minor"/>
    </font>
    <font>
      <b/>
      <sz val="10"/>
      <color theme="0"/>
      <name val="Calibri"/>
      <scheme val="minor"/>
    </font>
    <font>
      <sz val="11"/>
      <name val="Tahoma"/>
    </font>
    <font>
      <sz val="11"/>
      <color rgb="FF000000"/>
      <name val="Calibri"/>
      <scheme val="minor"/>
    </font>
    <font>
      <sz val="11"/>
      <color theme="1"/>
      <name val="Times New Roman"/>
    </font>
    <font>
      <i/>
      <sz val="11"/>
      <color theme="1"/>
      <name val="Times New Roman"/>
    </font>
    <font>
      <sz val="8"/>
      <name val="ＭＳ Ｐゴシック"/>
      <charset val="128"/>
    </font>
    <font>
      <sz val="12"/>
      <name val="Calibri"/>
      <family val="2"/>
      <scheme val="minor"/>
    </font>
    <font>
      <u/>
      <sz val="11"/>
      <color indexed="12"/>
      <name val="Calibri"/>
      <family val="2"/>
      <scheme val="minor"/>
    </font>
    <font>
      <sz val="12"/>
      <color theme="1"/>
      <name val="Calibri"/>
      <family val="2"/>
      <scheme val="minor"/>
    </font>
    <font>
      <sz val="11"/>
      <name val="Tahoma"/>
      <family val="2"/>
    </font>
    <font>
      <sz val="10"/>
      <color theme="1"/>
      <name val="Tahoma"/>
      <family val="2"/>
    </font>
    <font>
      <sz val="11"/>
      <color theme="1"/>
      <name val="Tahoma"/>
      <family val="2"/>
    </font>
    <font>
      <sz val="10"/>
      <color theme="1"/>
      <name val="Calibri"/>
      <family val="2"/>
      <scheme val="minor"/>
    </font>
    <font>
      <i/>
      <u/>
      <sz val="10"/>
      <color rgb="FF0000FF"/>
      <name val="Calibri"/>
      <family val="2"/>
      <scheme val="minor"/>
    </font>
    <font>
      <i/>
      <sz val="10"/>
      <color theme="1"/>
      <name val="Calibri"/>
      <family val="2"/>
      <scheme val="minor"/>
    </font>
    <font>
      <sz val="11"/>
      <color rgb="FF1B1C1D"/>
      <name val="Arial"/>
      <family val="2"/>
    </font>
    <font>
      <sz val="9"/>
      <color theme="1"/>
      <name val="Segoe UI"/>
      <family val="2"/>
    </font>
  </fonts>
  <fills count="11">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indexed="27"/>
        <bgColor indexed="41"/>
      </patternFill>
    </fill>
    <fill>
      <patternFill patternType="solid">
        <fgColor theme="6" tint="-0.249977111117893"/>
        <bgColor indexed="32"/>
      </patternFill>
    </fill>
    <fill>
      <patternFill patternType="solid">
        <fgColor rgb="FFCCFFFF"/>
        <bgColor indexed="64"/>
      </patternFill>
    </fill>
    <fill>
      <patternFill patternType="solid">
        <fgColor theme="0"/>
        <bgColor indexed="64"/>
      </patternFill>
    </fill>
    <fill>
      <patternFill patternType="solid">
        <fgColor theme="0"/>
        <bgColor indexed="26"/>
      </patternFill>
    </fill>
    <fill>
      <patternFill patternType="solid">
        <fgColor theme="0"/>
        <bgColor indexed="32"/>
      </patternFill>
    </fill>
  </fills>
  <borders count="39">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8"/>
      </left>
      <right style="hair">
        <color indexed="8"/>
      </right>
      <top style="thin">
        <color indexed="8"/>
      </top>
      <bottom/>
      <diagonal/>
    </border>
    <border>
      <left style="hair">
        <color indexed="8"/>
      </left>
      <right style="hair">
        <color indexed="8"/>
      </right>
      <top style="thin">
        <color indexed="8"/>
      </top>
      <bottom/>
      <diagonal/>
    </border>
    <border>
      <left style="hair">
        <color indexed="8"/>
      </left>
      <right/>
      <top style="thin">
        <color indexed="8"/>
      </top>
      <bottom/>
      <diagonal/>
    </border>
    <border>
      <left style="hair">
        <color indexed="8"/>
      </left>
      <right style="thin">
        <color indexed="8"/>
      </right>
      <top style="thin">
        <color indexed="8"/>
      </top>
      <bottom/>
      <diagonal/>
    </border>
    <border>
      <left style="dashed">
        <color rgb="FF000000"/>
      </left>
      <right style="dashed">
        <color rgb="FF000000"/>
      </right>
      <top style="dashed">
        <color rgb="FF000000"/>
      </top>
      <bottom style="dashed">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hair">
        <color indexed="8"/>
      </right>
      <top style="thin">
        <color indexed="8"/>
      </top>
      <bottom/>
      <diagonal/>
    </border>
    <border>
      <left style="hair">
        <color indexed="8"/>
      </left>
      <right style="medium">
        <color indexed="8"/>
      </right>
      <top style="thin">
        <color indexed="8"/>
      </top>
      <bottom/>
      <diagonal/>
    </border>
    <border>
      <left/>
      <right style="hair">
        <color indexed="8"/>
      </right>
      <top/>
      <bottom style="thin">
        <color indexed="8"/>
      </bottom>
      <diagonal/>
    </border>
    <border>
      <left style="hair">
        <color indexed="8"/>
      </left>
      <right style="hair">
        <color indexed="8"/>
      </right>
      <top/>
      <bottom style="thin">
        <color indexed="8"/>
      </bottom>
      <diagonal/>
    </border>
  </borders>
  <cellStyleXfs count="7">
    <xf numFmtId="0" fontId="0" fillId="0" borderId="0"/>
    <xf numFmtId="0" fontId="12" fillId="0" borderId="0" applyNumberFormat="0" applyFill="0" applyBorder="0" applyAlignment="0" applyProtection="0"/>
    <xf numFmtId="0" fontId="17" fillId="0" borderId="0"/>
    <xf numFmtId="0" fontId="17" fillId="0" borderId="0"/>
    <xf numFmtId="0" fontId="2" fillId="0" borderId="0"/>
    <xf numFmtId="0" fontId="20" fillId="0" borderId="0"/>
    <xf numFmtId="0" fontId="28" fillId="0" borderId="0"/>
  </cellStyleXfs>
  <cellXfs count="183">
    <xf numFmtId="0" fontId="0" fillId="0" borderId="0" xfId="0"/>
    <xf numFmtId="0" fontId="3" fillId="2" borderId="0" xfId="0" applyFont="1" applyFill="1"/>
    <xf numFmtId="0" fontId="6" fillId="2" borderId="1" xfId="0" applyFont="1" applyFill="1" applyBorder="1" applyAlignment="1">
      <alignment horizontal="left" vertical="center"/>
    </xf>
    <xf numFmtId="1" fontId="3" fillId="2" borderId="0" xfId="0" applyNumberFormat="1" applyFont="1" applyFill="1"/>
    <xf numFmtId="0" fontId="3" fillId="2" borderId="0" xfId="0" applyFont="1" applyFill="1" applyAlignment="1">
      <alignment horizontal="left"/>
    </xf>
    <xf numFmtId="1" fontId="3" fillId="2" borderId="0" xfId="0" applyNumberFormat="1" applyFont="1" applyFill="1" applyProtection="1">
      <protection hidden="1"/>
    </xf>
    <xf numFmtId="0" fontId="5" fillId="2" borderId="0" xfId="0" applyFont="1" applyFill="1" applyAlignment="1">
      <alignment horizontal="left"/>
    </xf>
    <xf numFmtId="0" fontId="9" fillId="2" borderId="0" xfId="0" applyFont="1" applyFill="1" applyAlignment="1">
      <alignment horizontal="left"/>
    </xf>
    <xf numFmtId="0" fontId="10" fillId="2" borderId="0" xfId="0" applyFont="1" applyFill="1" applyAlignment="1">
      <alignment horizontal="left"/>
    </xf>
    <xf numFmtId="0" fontId="3" fillId="2" borderId="0" xfId="0" applyFont="1" applyFill="1" applyAlignment="1">
      <alignment wrapText="1"/>
    </xf>
    <xf numFmtId="1" fontId="6" fillId="2" borderId="0" xfId="0" applyNumberFormat="1" applyFont="1" applyFill="1"/>
    <xf numFmtId="0" fontId="3" fillId="2" borderId="0" xfId="0" applyFont="1" applyFill="1" applyAlignment="1">
      <alignment vertical="center"/>
    </xf>
    <xf numFmtId="1" fontId="3" fillId="2" borderId="0" xfId="0" applyNumberFormat="1" applyFont="1" applyFill="1" applyAlignment="1" applyProtection="1">
      <alignment vertical="center"/>
      <protection hidden="1"/>
    </xf>
    <xf numFmtId="0" fontId="3" fillId="2" borderId="0" xfId="0" applyFont="1" applyFill="1" applyAlignment="1">
      <alignment horizontal="left" vertical="center"/>
    </xf>
    <xf numFmtId="0" fontId="11" fillId="2" borderId="0" xfId="0" applyFont="1" applyFill="1" applyAlignment="1">
      <alignment horizontal="center"/>
    </xf>
    <xf numFmtId="0" fontId="13" fillId="2" borderId="0" xfId="0" applyFont="1" applyFill="1"/>
    <xf numFmtId="0" fontId="13" fillId="2" borderId="0" xfId="0" applyFont="1" applyFill="1" applyAlignment="1">
      <alignment wrapText="1"/>
    </xf>
    <xf numFmtId="0" fontId="14" fillId="2" borderId="0" xfId="0" applyFont="1" applyFill="1"/>
    <xf numFmtId="0" fontId="3" fillId="2" borderId="0" xfId="0" applyFont="1" applyFill="1" applyAlignment="1">
      <alignment horizontal="center" wrapText="1"/>
    </xf>
    <xf numFmtId="0" fontId="13" fillId="2" borderId="0" xfId="0" applyFont="1" applyFill="1" applyAlignment="1">
      <alignment horizontal="center" wrapText="1"/>
    </xf>
    <xf numFmtId="0" fontId="14" fillId="2" borderId="0" xfId="0" applyFont="1" applyFill="1" applyAlignment="1">
      <alignment horizontal="center" wrapText="1"/>
    </xf>
    <xf numFmtId="0" fontId="10" fillId="2" borderId="0" xfId="3" applyFont="1" applyFill="1" applyAlignment="1">
      <alignment horizontal="center" vertical="center" wrapText="1"/>
    </xf>
    <xf numFmtId="0" fontId="11" fillId="5" borderId="3" xfId="3" applyFont="1" applyFill="1" applyBorder="1" applyAlignment="1">
      <alignment horizontal="left" vertical="center"/>
    </xf>
    <xf numFmtId="0" fontId="11" fillId="5" borderId="4" xfId="3" applyFont="1" applyFill="1" applyBorder="1" applyAlignment="1">
      <alignment horizontal="left" vertical="center"/>
    </xf>
    <xf numFmtId="0" fontId="11" fillId="5" borderId="2" xfId="3" applyFont="1" applyFill="1" applyBorder="1" applyAlignment="1">
      <alignment horizontal="left" vertical="center"/>
    </xf>
    <xf numFmtId="0" fontId="10" fillId="2" borderId="0" xfId="3" applyFont="1" applyFill="1" applyAlignment="1">
      <alignment horizontal="left" vertical="center"/>
    </xf>
    <xf numFmtId="0" fontId="3" fillId="2" borderId="1" xfId="3" applyFont="1" applyFill="1" applyBorder="1" applyAlignment="1">
      <alignment vertical="top" wrapText="1"/>
    </xf>
    <xf numFmtId="0" fontId="7" fillId="2" borderId="1" xfId="3" applyFont="1" applyFill="1" applyBorder="1" applyAlignment="1">
      <alignment vertical="top" wrapText="1"/>
    </xf>
    <xf numFmtId="0" fontId="7" fillId="2" borderId="1" xfId="0" applyFont="1" applyFill="1" applyBorder="1" applyAlignment="1">
      <alignment horizontal="left" vertical="top" wrapText="1"/>
    </xf>
    <xf numFmtId="0" fontId="3" fillId="2" borderId="1" xfId="0" applyFont="1" applyFill="1" applyBorder="1" applyAlignment="1">
      <alignment vertical="top" wrapText="1"/>
    </xf>
    <xf numFmtId="0" fontId="13" fillId="2" borderId="0" xfId="0" applyFont="1" applyFill="1" applyAlignment="1">
      <alignment vertical="top" wrapText="1"/>
    </xf>
    <xf numFmtId="0" fontId="14" fillId="2" borderId="0" xfId="0" applyFont="1" applyFill="1" applyAlignment="1">
      <alignment vertical="top"/>
    </xf>
    <xf numFmtId="0" fontId="14" fillId="2" borderId="1" xfId="0" applyFont="1" applyFill="1" applyBorder="1" applyAlignment="1">
      <alignment horizontal="left" vertical="top" wrapText="1"/>
    </xf>
    <xf numFmtId="0" fontId="3" fillId="2" borderId="1" xfId="0" applyFont="1" applyFill="1" applyBorder="1"/>
    <xf numFmtId="0" fontId="11" fillId="2" borderId="0" xfId="2" applyFont="1" applyFill="1"/>
    <xf numFmtId="0" fontId="3" fillId="2" borderId="0" xfId="2" applyFont="1" applyFill="1"/>
    <xf numFmtId="164" fontId="3" fillId="2" borderId="0" xfId="2" applyNumberFormat="1" applyFont="1" applyFill="1"/>
    <xf numFmtId="0" fontId="6" fillId="2" borderId="2" xfId="0" applyFont="1" applyFill="1" applyBorder="1" applyAlignment="1">
      <alignment horizontal="left"/>
    </xf>
    <xf numFmtId="0" fontId="3" fillId="2" borderId="2" xfId="0" applyFont="1" applyFill="1" applyBorder="1" applyAlignment="1">
      <alignment vertical="top"/>
    </xf>
    <xf numFmtId="0" fontId="6" fillId="2" borderId="1" xfId="0" applyFont="1" applyFill="1" applyBorder="1" applyAlignment="1">
      <alignment vertical="center"/>
    </xf>
    <xf numFmtId="0" fontId="7" fillId="2" borderId="2" xfId="0" applyFont="1" applyFill="1" applyBorder="1" applyAlignment="1">
      <alignment vertical="top"/>
    </xf>
    <xf numFmtId="0" fontId="6" fillId="2" borderId="0" xfId="0" applyFont="1" applyFill="1"/>
    <xf numFmtId="0" fontId="7" fillId="2" borderId="0" xfId="2" applyFont="1" applyFill="1"/>
    <xf numFmtId="0" fontId="3" fillId="2" borderId="5" xfId="0" applyFont="1" applyFill="1" applyBorder="1"/>
    <xf numFmtId="0" fontId="6" fillId="2" borderId="0" xfId="0" applyFont="1" applyFill="1" applyAlignment="1">
      <alignment horizontal="left"/>
    </xf>
    <xf numFmtId="2" fontId="16" fillId="2" borderId="0" xfId="0" applyNumberFormat="1" applyFont="1" applyFill="1" applyAlignment="1">
      <alignment horizontal="right" wrapText="1"/>
    </xf>
    <xf numFmtId="0" fontId="7" fillId="2" borderId="0" xfId="3" applyFont="1" applyFill="1" applyAlignment="1">
      <alignment horizontal="left" wrapText="1"/>
    </xf>
    <xf numFmtId="0" fontId="9" fillId="2" borderId="0" xfId="0" applyFont="1" applyFill="1" applyAlignment="1">
      <alignment horizontal="center" vertical="center" wrapText="1"/>
    </xf>
    <xf numFmtId="0" fontId="14" fillId="2" borderId="0" xfId="0" applyFont="1" applyFill="1" applyAlignment="1">
      <alignment horizontal="center" vertical="center" wrapText="1"/>
    </xf>
    <xf numFmtId="0" fontId="11" fillId="5" borderId="6" xfId="3" applyFont="1" applyFill="1" applyBorder="1" applyAlignment="1">
      <alignment horizontal="left" vertical="center"/>
    </xf>
    <xf numFmtId="0" fontId="11" fillId="5" borderId="7" xfId="3" applyFont="1" applyFill="1" applyBorder="1" applyAlignment="1">
      <alignment horizontal="left" vertical="center"/>
    </xf>
    <xf numFmtId="0" fontId="11" fillId="5" borderId="8" xfId="3" applyFont="1" applyFill="1" applyBorder="1" applyAlignment="1">
      <alignment horizontal="left" vertical="center"/>
    </xf>
    <xf numFmtId="0" fontId="7" fillId="2" borderId="0" xfId="3" applyFont="1" applyFill="1" applyAlignment="1">
      <alignment wrapText="1"/>
    </xf>
    <xf numFmtId="0" fontId="8" fillId="6" borderId="9" xfId="3" applyFont="1" applyFill="1" applyBorder="1" applyAlignment="1">
      <alignment horizontal="center" vertical="center" wrapText="1"/>
    </xf>
    <xf numFmtId="0" fontId="18" fillId="2" borderId="9" xfId="3" applyFont="1" applyFill="1" applyBorder="1" applyAlignment="1">
      <alignment horizontal="center" vertical="top" wrapText="1"/>
    </xf>
    <xf numFmtId="0" fontId="3" fillId="2" borderId="9" xfId="3" applyFont="1" applyFill="1" applyBorder="1" applyAlignment="1">
      <alignment horizontal="center" vertical="top" wrapText="1"/>
    </xf>
    <xf numFmtId="0" fontId="18" fillId="2" borderId="13" xfId="3" applyFont="1" applyFill="1" applyBorder="1" applyAlignment="1">
      <alignment horizontal="center" vertical="top" wrapText="1"/>
    </xf>
    <xf numFmtId="0" fontId="18" fillId="2" borderId="14" xfId="3" applyFont="1" applyFill="1" applyBorder="1" applyAlignment="1">
      <alignment horizontal="center" vertical="top" wrapText="1"/>
    </xf>
    <xf numFmtId="0" fontId="18" fillId="2" borderId="15" xfId="3" applyFont="1" applyFill="1" applyBorder="1" applyAlignment="1">
      <alignment horizontal="center" vertical="top" wrapText="1"/>
    </xf>
    <xf numFmtId="0" fontId="3" fillId="2" borderId="16" xfId="3" applyFont="1" applyFill="1" applyBorder="1" applyAlignment="1">
      <alignment horizontal="center" vertical="top" wrapText="1"/>
    </xf>
    <xf numFmtId="0" fontId="3" fillId="2" borderId="17" xfId="3" applyFont="1" applyFill="1" applyBorder="1" applyAlignment="1">
      <alignment horizontal="center" vertical="top" wrapText="1"/>
    </xf>
    <xf numFmtId="0" fontId="3" fillId="2" borderId="14" xfId="3" applyFont="1" applyFill="1" applyBorder="1" applyAlignment="1">
      <alignment horizontal="center" vertical="top" wrapText="1"/>
    </xf>
    <xf numFmtId="0" fontId="11" fillId="2" borderId="10" xfId="3" applyFont="1" applyFill="1" applyBorder="1" applyAlignment="1">
      <alignment horizontal="center" vertical="top" wrapText="1"/>
    </xf>
    <xf numFmtId="0" fontId="11" fillId="2" borderId="13" xfId="3" applyFont="1" applyFill="1" applyBorder="1" applyAlignment="1">
      <alignment horizontal="center" vertical="top" wrapText="1"/>
    </xf>
    <xf numFmtId="0" fontId="4" fillId="0" borderId="3" xfId="5" applyFont="1" applyBorder="1" applyAlignment="1">
      <alignment horizontal="center" vertical="center"/>
    </xf>
    <xf numFmtId="0" fontId="3" fillId="0" borderId="0" xfId="5" applyFont="1" applyAlignment="1">
      <alignment horizontal="center" vertical="center"/>
    </xf>
    <xf numFmtId="0" fontId="6" fillId="2" borderId="0" xfId="5" applyFont="1" applyFill="1" applyAlignment="1">
      <alignment horizontal="left" indent="1"/>
    </xf>
    <xf numFmtId="0" fontId="7" fillId="0" borderId="0" xfId="5" applyFont="1" applyAlignment="1">
      <alignment horizontal="left" indent="1"/>
    </xf>
    <xf numFmtId="0" fontId="3" fillId="0" borderId="0" xfId="5" applyFont="1"/>
    <xf numFmtId="0" fontId="3" fillId="2" borderId="0" xfId="5" applyFont="1" applyFill="1"/>
    <xf numFmtId="0" fontId="11" fillId="2" borderId="1" xfId="5" applyFont="1" applyFill="1" applyBorder="1" applyAlignment="1">
      <alignment horizontal="left"/>
    </xf>
    <xf numFmtId="0" fontId="3" fillId="0" borderId="2" xfId="5" applyFont="1" applyBorder="1"/>
    <xf numFmtId="0" fontId="21" fillId="0" borderId="2" xfId="5" applyFont="1" applyBorder="1"/>
    <xf numFmtId="0" fontId="11" fillId="2" borderId="1" xfId="5" applyFont="1" applyFill="1" applyBorder="1" applyAlignment="1">
      <alignment vertical="center"/>
    </xf>
    <xf numFmtId="0" fontId="21" fillId="0" borderId="2" xfId="5" applyFont="1" applyBorder="1" applyAlignment="1">
      <alignment horizontal="left" indent="1"/>
    </xf>
    <xf numFmtId="0" fontId="11" fillId="0" borderId="0" xfId="5" applyFont="1"/>
    <xf numFmtId="0" fontId="7" fillId="0" borderId="0" xfId="5" applyFont="1" applyAlignment="1">
      <alignment horizontal="left"/>
    </xf>
    <xf numFmtId="0" fontId="6" fillId="0" borderId="0" xfId="5" applyFont="1" applyAlignment="1">
      <alignment horizontal="left" indent="1"/>
    </xf>
    <xf numFmtId="0" fontId="11" fillId="0" borderId="0" xfId="5" applyFont="1" applyAlignment="1">
      <alignment horizontal="left"/>
    </xf>
    <xf numFmtId="0" fontId="3" fillId="0" borderId="0" xfId="5" applyFont="1" applyAlignment="1">
      <alignment vertical="center"/>
    </xf>
    <xf numFmtId="0" fontId="3" fillId="0" borderId="0" xfId="5" applyFont="1" applyAlignment="1">
      <alignment vertical="top"/>
    </xf>
    <xf numFmtId="0" fontId="3" fillId="0" borderId="0" xfId="5" applyFont="1" applyAlignment="1">
      <alignment horizontal="left" indent="1"/>
    </xf>
    <xf numFmtId="0" fontId="3" fillId="2" borderId="2" xfId="0" applyFont="1" applyFill="1" applyBorder="1" applyAlignment="1">
      <alignment vertical="top" wrapText="1"/>
    </xf>
    <xf numFmtId="1" fontId="26" fillId="4" borderId="18" xfId="0" applyNumberFormat="1" applyFont="1" applyFill="1" applyBorder="1" applyAlignment="1">
      <alignment horizontal="center" vertical="center"/>
    </xf>
    <xf numFmtId="0" fontId="26" fillId="4" borderId="19" xfId="0" applyFont="1" applyFill="1" applyBorder="1" applyAlignment="1">
      <alignment horizontal="center" vertical="center"/>
    </xf>
    <xf numFmtId="0" fontId="26" fillId="4" borderId="20" xfId="0" applyFont="1" applyFill="1" applyBorder="1" applyAlignment="1">
      <alignment horizontal="center" vertical="center"/>
    </xf>
    <xf numFmtId="0" fontId="26" fillId="4" borderId="21" xfId="0" applyFont="1" applyFill="1" applyBorder="1" applyAlignment="1">
      <alignment horizontal="center" vertical="center"/>
    </xf>
    <xf numFmtId="0" fontId="25" fillId="2" borderId="22" xfId="1" applyFont="1" applyFill="1" applyBorder="1" applyAlignment="1">
      <alignment horizontal="left" vertical="center" wrapText="1"/>
    </xf>
    <xf numFmtId="0" fontId="24" fillId="2" borderId="0" xfId="0" applyFont="1" applyFill="1"/>
    <xf numFmtId="0" fontId="8" fillId="6" borderId="24" xfId="3" applyFont="1" applyFill="1" applyBorder="1" applyAlignment="1">
      <alignment horizontal="center" vertical="center" wrapText="1"/>
    </xf>
    <xf numFmtId="0" fontId="27" fillId="7" borderId="23" xfId="0" applyFont="1" applyFill="1" applyBorder="1" applyAlignment="1">
      <alignment horizontal="left" vertical="top" wrapText="1"/>
    </xf>
    <xf numFmtId="0" fontId="27" fillId="7" borderId="23" xfId="0" applyFont="1" applyFill="1" applyBorder="1" applyAlignment="1">
      <alignment horizontal="left" vertical="top"/>
    </xf>
    <xf numFmtId="0" fontId="27" fillId="0" borderId="23" xfId="0" applyFont="1" applyBorder="1" applyAlignment="1">
      <alignment horizontal="left" vertical="top" wrapText="1"/>
    </xf>
    <xf numFmtId="0" fontId="27" fillId="0" borderId="23" xfId="0" applyFont="1" applyBorder="1" applyAlignment="1">
      <alignment horizontal="left" vertical="top"/>
    </xf>
    <xf numFmtId="0" fontId="21" fillId="2" borderId="9" xfId="3" applyFont="1" applyFill="1" applyBorder="1" applyAlignment="1">
      <alignment horizontal="center" vertical="top" wrapText="1"/>
    </xf>
    <xf numFmtId="165" fontId="30" fillId="0" borderId="0" xfId="6" applyNumberFormat="1" applyFont="1" applyAlignment="1">
      <alignment horizontal="center"/>
    </xf>
    <xf numFmtId="49" fontId="29" fillId="0" borderId="0" xfId="6" applyNumberFormat="1" applyFont="1" applyAlignment="1">
      <alignment horizontal="center" vertical="center"/>
    </xf>
    <xf numFmtId="0" fontId="29" fillId="0" borderId="0" xfId="6" applyFont="1" applyAlignment="1">
      <alignment horizontal="left" vertical="center" wrapText="1"/>
    </xf>
    <xf numFmtId="0" fontId="29" fillId="0" borderId="0" xfId="6" applyFont="1" applyAlignment="1">
      <alignment horizontal="center" vertical="center" wrapText="1"/>
    </xf>
    <xf numFmtId="0" fontId="30" fillId="0" borderId="0" xfId="6" applyFont="1" applyAlignment="1">
      <alignment horizontal="center" vertical="center" wrapText="1"/>
    </xf>
    <xf numFmtId="166" fontId="29" fillId="0" borderId="0" xfId="6" applyNumberFormat="1" applyFont="1" applyAlignment="1">
      <alignment horizontal="center" vertical="center"/>
    </xf>
    <xf numFmtId="164" fontId="8" fillId="3" borderId="18" xfId="5" applyNumberFormat="1" applyFont="1" applyFill="1" applyBorder="1" applyAlignment="1">
      <alignment horizontal="center" vertical="center"/>
    </xf>
    <xf numFmtId="0" fontId="8" fillId="3" borderId="19" xfId="5" applyFont="1" applyFill="1" applyBorder="1" applyAlignment="1">
      <alignment horizontal="center" vertical="center"/>
    </xf>
    <xf numFmtId="0" fontId="8" fillId="3" borderId="21" xfId="5" applyFont="1" applyFill="1" applyBorder="1" applyAlignment="1">
      <alignment horizontal="center" vertical="center"/>
    </xf>
    <xf numFmtId="0" fontId="27" fillId="0" borderId="25" xfId="0" applyFont="1" applyBorder="1" applyAlignment="1">
      <alignment horizontal="left" vertical="top" wrapText="1"/>
    </xf>
    <xf numFmtId="0" fontId="21" fillId="2" borderId="24" xfId="3" applyFont="1" applyFill="1" applyBorder="1" applyAlignment="1">
      <alignment horizontal="center" vertical="top" wrapText="1"/>
    </xf>
    <xf numFmtId="0" fontId="27" fillId="0" borderId="25" xfId="0" applyFont="1" applyBorder="1" applyAlignment="1">
      <alignment horizontal="left" vertical="top"/>
    </xf>
    <xf numFmtId="0" fontId="3" fillId="2" borderId="26" xfId="3" applyFont="1" applyFill="1" applyBorder="1" applyAlignment="1">
      <alignment vertical="top" wrapText="1"/>
    </xf>
    <xf numFmtId="0" fontId="27" fillId="0" borderId="9" xfId="0" applyFont="1" applyBorder="1" applyAlignment="1">
      <alignment horizontal="left" vertical="top" wrapText="1"/>
    </xf>
    <xf numFmtId="0" fontId="27" fillId="0" borderId="9" xfId="0" applyFont="1" applyBorder="1" applyAlignment="1">
      <alignment horizontal="left" vertical="top"/>
    </xf>
    <xf numFmtId="0" fontId="3" fillId="2" borderId="9" xfId="3" applyFont="1" applyFill="1" applyBorder="1" applyAlignment="1">
      <alignment vertical="top" wrapText="1"/>
    </xf>
    <xf numFmtId="0" fontId="21" fillId="2" borderId="27" xfId="3" applyFont="1" applyFill="1" applyBorder="1" applyAlignment="1">
      <alignment horizontal="center" vertical="top" wrapText="1"/>
    </xf>
    <xf numFmtId="0" fontId="27" fillId="7" borderId="25" xfId="0" applyFont="1" applyFill="1" applyBorder="1" applyAlignment="1">
      <alignment horizontal="left" vertical="top" wrapText="1"/>
    </xf>
    <xf numFmtId="0" fontId="32" fillId="0" borderId="9" xfId="0" applyFont="1" applyBorder="1" applyAlignment="1">
      <alignment vertical="center" wrapText="1"/>
    </xf>
    <xf numFmtId="0" fontId="21" fillId="2" borderId="28" xfId="3" applyFont="1" applyFill="1" applyBorder="1" applyAlignment="1">
      <alignment horizontal="center" vertical="top" wrapText="1"/>
    </xf>
    <xf numFmtId="0" fontId="3" fillId="2" borderId="9" xfId="0" applyFont="1" applyFill="1" applyBorder="1"/>
    <xf numFmtId="0" fontId="36" fillId="6" borderId="24" xfId="3" applyFont="1" applyFill="1" applyBorder="1" applyAlignment="1">
      <alignment horizontal="center" vertical="center" wrapText="1"/>
    </xf>
    <xf numFmtId="0" fontId="37" fillId="7" borderId="25" xfId="0" applyFont="1" applyFill="1" applyBorder="1" applyAlignment="1">
      <alignment horizontal="left" vertical="top" wrapText="1"/>
    </xf>
    <xf numFmtId="0" fontId="34" fillId="0" borderId="9" xfId="1" applyFont="1" applyBorder="1" applyAlignment="1">
      <alignment vertical="center" wrapText="1"/>
    </xf>
    <xf numFmtId="0" fontId="34" fillId="0" borderId="9" xfId="0" applyFont="1" applyBorder="1" applyAlignment="1">
      <alignment vertical="center" wrapText="1"/>
    </xf>
    <xf numFmtId="0" fontId="27" fillId="8" borderId="9" xfId="0" applyFont="1" applyFill="1" applyBorder="1" applyAlignment="1">
      <alignment horizontal="left" vertical="top" wrapText="1"/>
    </xf>
    <xf numFmtId="0" fontId="18" fillId="8" borderId="9" xfId="3" applyFont="1" applyFill="1" applyBorder="1" applyAlignment="1">
      <alignment horizontal="center" vertical="top" wrapText="1"/>
    </xf>
    <xf numFmtId="0" fontId="27" fillId="8" borderId="9" xfId="0" applyFont="1" applyFill="1" applyBorder="1" applyAlignment="1">
      <alignment horizontal="left" vertical="top"/>
    </xf>
    <xf numFmtId="0" fontId="21" fillId="9" borderId="9" xfId="3" applyFont="1" applyFill="1" applyBorder="1" applyAlignment="1">
      <alignment horizontal="center" vertical="top" wrapText="1"/>
    </xf>
    <xf numFmtId="0" fontId="3" fillId="9" borderId="9" xfId="3" applyFont="1" applyFill="1" applyBorder="1" applyAlignment="1">
      <alignment vertical="top" wrapText="1"/>
    </xf>
    <xf numFmtId="0" fontId="21" fillId="8" borderId="9" xfId="3" applyFont="1" applyFill="1" applyBorder="1" applyAlignment="1">
      <alignment horizontal="center" vertical="top" wrapText="1"/>
    </xf>
    <xf numFmtId="0" fontId="35" fillId="7" borderId="25" xfId="0" applyFont="1" applyFill="1" applyBorder="1" applyAlignment="1">
      <alignment horizontal="left" vertical="top" wrapText="1"/>
    </xf>
    <xf numFmtId="49" fontId="38" fillId="2" borderId="22" xfId="0" applyNumberFormat="1" applyFont="1" applyFill="1" applyBorder="1" applyAlignment="1">
      <alignment horizontal="left" vertical="center"/>
    </xf>
    <xf numFmtId="0" fontId="38" fillId="2" borderId="22" xfId="1" applyFont="1" applyFill="1" applyBorder="1" applyAlignment="1">
      <alignment horizontal="left" vertical="center" wrapText="1"/>
    </xf>
    <xf numFmtId="1" fontId="25" fillId="2" borderId="22" xfId="0" applyNumberFormat="1" applyFont="1" applyFill="1" applyBorder="1" applyAlignment="1">
      <alignment horizontal="left" vertical="center"/>
    </xf>
    <xf numFmtId="0" fontId="1" fillId="0" borderId="22" xfId="0" applyFont="1" applyBorder="1" applyAlignment="1">
      <alignment horizontal="left" vertical="center"/>
    </xf>
    <xf numFmtId="0" fontId="1" fillId="0" borderId="22" xfId="0" applyFont="1" applyBorder="1" applyAlignment="1">
      <alignment horizontal="left" vertical="center" wrapText="1"/>
    </xf>
    <xf numFmtId="0" fontId="33" fillId="2" borderId="22" xfId="1" applyFont="1" applyFill="1" applyBorder="1" applyAlignment="1">
      <alignment horizontal="left" vertical="center"/>
    </xf>
    <xf numFmtId="0" fontId="39" fillId="0" borderId="9" xfId="0" applyFont="1" applyBorder="1" applyAlignment="1">
      <alignment vertical="top" wrapText="1"/>
    </xf>
    <xf numFmtId="165" fontId="40" fillId="0" borderId="9" xfId="0" applyNumberFormat="1" applyFont="1" applyBorder="1" applyAlignment="1">
      <alignment vertical="top" wrapText="1"/>
    </xf>
    <xf numFmtId="49" fontId="38" fillId="0" borderId="9" xfId="0" applyNumberFormat="1" applyFont="1" applyBorder="1" applyAlignment="1">
      <alignment vertical="top"/>
    </xf>
    <xf numFmtId="0" fontId="38" fillId="0" borderId="9" xfId="0" applyFont="1" applyBorder="1" applyAlignment="1">
      <alignment vertical="top" wrapText="1"/>
    </xf>
    <xf numFmtId="0" fontId="38" fillId="0" borderId="9" xfId="0" applyFont="1" applyBorder="1" applyAlignment="1">
      <alignment vertical="top"/>
    </xf>
    <xf numFmtId="165" fontId="40" fillId="0" borderId="9" xfId="0" applyNumberFormat="1" applyFont="1" applyBorder="1" applyAlignment="1">
      <alignment vertical="top"/>
    </xf>
    <xf numFmtId="0" fontId="38" fillId="0" borderId="9" xfId="0" applyFont="1" applyBorder="1" applyAlignment="1">
      <alignment horizontal="left" vertical="top" wrapText="1"/>
    </xf>
    <xf numFmtId="0" fontId="41" fillId="0" borderId="29" xfId="0" applyFont="1" applyBorder="1" applyAlignment="1">
      <alignment horizontal="left" vertical="center" wrapText="1" indent="1" readingOrder="1"/>
    </xf>
    <xf numFmtId="0" fontId="42" fillId="8" borderId="9" xfId="0" applyFont="1" applyFill="1" applyBorder="1" applyAlignment="1">
      <alignment horizontal="left" vertical="center" wrapText="1" indent="1"/>
    </xf>
    <xf numFmtId="0" fontId="18" fillId="2" borderId="31" xfId="3" applyFont="1" applyFill="1" applyBorder="1" applyAlignment="1">
      <alignment horizontal="center" vertical="top" wrapText="1"/>
    </xf>
    <xf numFmtId="0" fontId="3" fillId="2" borderId="31" xfId="3" applyFont="1" applyFill="1" applyBorder="1" applyAlignment="1">
      <alignment horizontal="center" vertical="top" wrapText="1"/>
    </xf>
    <xf numFmtId="0" fontId="3" fillId="2" borderId="32" xfId="3" applyFont="1" applyFill="1" applyBorder="1" applyAlignment="1">
      <alignment horizontal="center" vertical="top" wrapText="1"/>
    </xf>
    <xf numFmtId="0" fontId="27" fillId="0" borderId="33" xfId="0" applyFont="1" applyBorder="1" applyAlignment="1">
      <alignment horizontal="left" vertical="top" wrapText="1"/>
    </xf>
    <xf numFmtId="0" fontId="27" fillId="0" borderId="34" xfId="0" applyFont="1" applyBorder="1" applyAlignment="1">
      <alignment horizontal="left" vertical="top" wrapText="1"/>
    </xf>
    <xf numFmtId="0" fontId="27" fillId="0" borderId="27" xfId="0" applyFont="1" applyBorder="1" applyAlignment="1">
      <alignment horizontal="left" vertical="top" wrapText="1"/>
    </xf>
    <xf numFmtId="0" fontId="14" fillId="2" borderId="9" xfId="0" applyFont="1" applyFill="1" applyBorder="1"/>
    <xf numFmtId="0" fontId="8" fillId="3" borderId="35" xfId="0" applyFont="1" applyFill="1" applyBorder="1" applyAlignment="1">
      <alignment horizontal="center"/>
    </xf>
    <xf numFmtId="0" fontId="8" fillId="3" borderId="19" xfId="0" applyFont="1" applyFill="1" applyBorder="1" applyAlignment="1">
      <alignment horizontal="center"/>
    </xf>
    <xf numFmtId="0" fontId="8" fillId="3" borderId="19" xfId="0" applyFont="1" applyFill="1" applyBorder="1" applyAlignment="1">
      <alignment horizontal="center" wrapText="1"/>
    </xf>
    <xf numFmtId="0" fontId="8" fillId="3" borderId="20" xfId="0" applyFont="1" applyFill="1" applyBorder="1" applyAlignment="1">
      <alignment horizontal="center"/>
    </xf>
    <xf numFmtId="0" fontId="8" fillId="3" borderId="36" xfId="0" applyFont="1" applyFill="1" applyBorder="1" applyAlignment="1">
      <alignment horizontal="center" wrapText="1"/>
    </xf>
    <xf numFmtId="0" fontId="3" fillId="2" borderId="9" xfId="0" applyFont="1" applyFill="1" applyBorder="1" applyAlignment="1">
      <alignment horizontal="center"/>
    </xf>
    <xf numFmtId="0" fontId="15" fillId="3" borderId="37" xfId="0" applyFont="1" applyFill="1" applyBorder="1" applyAlignment="1">
      <alignment horizontal="center"/>
    </xf>
    <xf numFmtId="0" fontId="8" fillId="3" borderId="38" xfId="0" applyFont="1" applyFill="1" applyBorder="1"/>
    <xf numFmtId="0" fontId="15" fillId="3" borderId="38" xfId="0" applyFont="1" applyFill="1" applyBorder="1" applyAlignment="1">
      <alignment horizontal="center"/>
    </xf>
    <xf numFmtId="0" fontId="3" fillId="9" borderId="0" xfId="0" applyFont="1" applyFill="1"/>
    <xf numFmtId="0" fontId="15" fillId="10" borderId="0" xfId="0" applyFont="1" applyFill="1" applyAlignment="1">
      <alignment horizontal="center"/>
    </xf>
    <xf numFmtId="0" fontId="8" fillId="10" borderId="0" xfId="0" applyFont="1" applyFill="1"/>
    <xf numFmtId="0" fontId="5" fillId="0" borderId="1" xfId="5" applyFont="1" applyBorder="1" applyAlignment="1">
      <alignment horizontal="center" vertical="center"/>
    </xf>
    <xf numFmtId="0" fontId="21" fillId="0" borderId="1" xfId="5" applyFont="1" applyBorder="1" applyAlignment="1">
      <alignment horizontal="left" wrapText="1"/>
    </xf>
    <xf numFmtId="0" fontId="21" fillId="0" borderId="1" xfId="5" applyFont="1" applyBorder="1" applyAlignment="1">
      <alignment horizontal="left"/>
    </xf>
    <xf numFmtId="0" fontId="21" fillId="0" borderId="3" xfId="5" applyFont="1" applyBorder="1" applyAlignment="1">
      <alignment horizontal="left" vertical="center"/>
    </xf>
    <xf numFmtId="0" fontId="21" fillId="0" borderId="4" xfId="5" applyFont="1" applyBorder="1" applyAlignment="1">
      <alignment horizontal="left" vertical="center"/>
    </xf>
    <xf numFmtId="0" fontId="21" fillId="0" borderId="2" xfId="5" applyFont="1" applyBorder="1" applyAlignment="1">
      <alignment horizontal="left" vertical="center"/>
    </xf>
    <xf numFmtId="1" fontId="6" fillId="2" borderId="1" xfId="0" applyNumberFormat="1" applyFont="1" applyFill="1" applyBorder="1" applyAlignment="1">
      <alignment vertical="center" wrapText="1"/>
    </xf>
    <xf numFmtId="0" fontId="7" fillId="2" borderId="1" xfId="0" applyFont="1" applyFill="1" applyBorder="1" applyAlignment="1">
      <alignment vertical="top" wrapText="1"/>
    </xf>
    <xf numFmtId="1" fontId="6" fillId="2" borderId="3" xfId="0" applyNumberFormat="1" applyFont="1" applyFill="1" applyBorder="1"/>
    <xf numFmtId="0" fontId="7" fillId="2" borderId="1" xfId="0" applyFont="1" applyFill="1" applyBorder="1" applyAlignment="1">
      <alignment horizontal="left"/>
    </xf>
    <xf numFmtId="0" fontId="3" fillId="2" borderId="11" xfId="3" applyFont="1" applyFill="1" applyBorder="1" applyAlignment="1">
      <alignment horizontal="left" vertical="top" wrapText="1"/>
    </xf>
    <xf numFmtId="0" fontId="3" fillId="2" borderId="12" xfId="3" applyFont="1" applyFill="1" applyBorder="1" applyAlignment="1">
      <alignment horizontal="left" vertical="top" wrapText="1"/>
    </xf>
    <xf numFmtId="0" fontId="3" fillId="2" borderId="9" xfId="3" applyFont="1" applyFill="1" applyBorder="1" applyAlignment="1">
      <alignment horizontal="left" vertical="top" wrapText="1"/>
    </xf>
    <xf numFmtId="0" fontId="3" fillId="2" borderId="14" xfId="3" applyFont="1" applyFill="1" applyBorder="1" applyAlignment="1">
      <alignment horizontal="left" vertical="top" wrapText="1"/>
    </xf>
    <xf numFmtId="0" fontId="3" fillId="2" borderId="30" xfId="3" applyFont="1" applyFill="1" applyBorder="1" applyAlignment="1">
      <alignment horizontal="left" vertical="top" wrapText="1"/>
    </xf>
    <xf numFmtId="0" fontId="3" fillId="2" borderId="31" xfId="3" applyFont="1" applyFill="1" applyBorder="1" applyAlignment="1">
      <alignment horizontal="left" vertical="top" wrapText="1"/>
    </xf>
    <xf numFmtId="0" fontId="6" fillId="2" borderId="1" xfId="0" applyFont="1" applyFill="1" applyBorder="1" applyAlignment="1">
      <alignment horizontal="left"/>
    </xf>
    <xf numFmtId="0" fontId="7" fillId="2" borderId="1" xfId="2" applyFont="1" applyFill="1" applyBorder="1" applyAlignment="1">
      <alignment vertical="top" wrapText="1"/>
    </xf>
    <xf numFmtId="0" fontId="7" fillId="2" borderId="1" xfId="2" applyFont="1" applyFill="1" applyBorder="1" applyAlignment="1">
      <alignment vertical="top"/>
    </xf>
    <xf numFmtId="0" fontId="5" fillId="2" borderId="0" xfId="2" applyFont="1" applyFill="1" applyAlignment="1">
      <alignment horizontal="center"/>
    </xf>
    <xf numFmtId="0" fontId="7" fillId="2" borderId="1" xfId="0" applyFont="1" applyFill="1" applyBorder="1" applyAlignment="1">
      <alignment horizontal="left" vertical="center"/>
    </xf>
    <xf numFmtId="0" fontId="6" fillId="2" borderId="1" xfId="0" applyFont="1" applyFill="1" applyBorder="1" applyAlignment="1">
      <alignment horizontal="left" vertical="center"/>
    </xf>
  </cellXfs>
  <cellStyles count="7">
    <cellStyle name="Hyperlink" xfId="1" builtinId="8"/>
    <cellStyle name="Normal" xfId="0" builtinId="0"/>
    <cellStyle name="Normal 2" xfId="6" xr:uid="{7A688EE6-3CA2-4574-9E50-916EDA065CCA}"/>
    <cellStyle name="Normal_Functional Test Case v1.0" xfId="2" xr:uid="{00000000-0005-0000-0000-000002000000}"/>
    <cellStyle name="Normal_Sheet1" xfId="3" xr:uid="{00000000-0005-0000-0000-000003000000}"/>
    <cellStyle name="Normal_Template_UnitTest Case_v0.9" xfId="5" xr:uid="{EEA5E9E7-8D36-4240-9C70-BE5C8BB08911}"/>
    <cellStyle name="標準_結合試験(AllOvertheWorld)" xfId="4" xr:uid="{00000000-0005-0000-0000-000004000000}"/>
  </cellStyles>
  <dxfs count="0"/>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5E7C-3083-0D4D-BE51-7E9C959622A8}">
  <dimension ref="A2:F21"/>
  <sheetViews>
    <sheetView topLeftCell="D1" workbookViewId="0">
      <selection activeCell="F12" sqref="F12"/>
    </sheetView>
  </sheetViews>
  <sheetFormatPr defaultColWidth="9" defaultRowHeight="13.2"/>
  <cols>
    <col min="1" max="1" width="28.109375" style="81" customWidth="1"/>
    <col min="2" max="2" width="12.88671875" style="68" customWidth="1"/>
    <col min="3" max="3" width="23.33203125" style="68" customWidth="1"/>
    <col min="4" max="4" width="14.5546875" style="68" customWidth="1"/>
    <col min="5" max="5" width="38" style="68" customWidth="1"/>
    <col min="6" max="6" width="48.109375" style="68" customWidth="1"/>
    <col min="7" max="256" width="9" style="68"/>
    <col min="257" max="257" width="28.109375" style="68" customWidth="1"/>
    <col min="258" max="258" width="10" style="68" customWidth="1"/>
    <col min="259" max="259" width="14.44140625" style="68" customWidth="1"/>
    <col min="260" max="260" width="8" style="68" customWidth="1"/>
    <col min="261" max="261" width="38" style="68" customWidth="1"/>
    <col min="262" max="262" width="48.109375" style="68" customWidth="1"/>
    <col min="263" max="512" width="9" style="68"/>
    <col min="513" max="513" width="28.109375" style="68" customWidth="1"/>
    <col min="514" max="514" width="10" style="68" customWidth="1"/>
    <col min="515" max="515" width="14.44140625" style="68" customWidth="1"/>
    <col min="516" max="516" width="8" style="68" customWidth="1"/>
    <col min="517" max="517" width="38" style="68" customWidth="1"/>
    <col min="518" max="518" width="48.109375" style="68" customWidth="1"/>
    <col min="519" max="768" width="9" style="68"/>
    <col min="769" max="769" width="28.109375" style="68" customWidth="1"/>
    <col min="770" max="770" width="10" style="68" customWidth="1"/>
    <col min="771" max="771" width="14.44140625" style="68" customWidth="1"/>
    <col min="772" max="772" width="8" style="68" customWidth="1"/>
    <col min="773" max="773" width="38" style="68" customWidth="1"/>
    <col min="774" max="774" width="48.109375" style="68" customWidth="1"/>
    <col min="775" max="1024" width="9" style="68"/>
    <col min="1025" max="1025" width="28.109375" style="68" customWidth="1"/>
    <col min="1026" max="1026" width="10" style="68" customWidth="1"/>
    <col min="1027" max="1027" width="14.44140625" style="68" customWidth="1"/>
    <col min="1028" max="1028" width="8" style="68" customWidth="1"/>
    <col min="1029" max="1029" width="38" style="68" customWidth="1"/>
    <col min="1030" max="1030" width="48.109375" style="68" customWidth="1"/>
    <col min="1031" max="1280" width="9" style="68"/>
    <col min="1281" max="1281" width="28.109375" style="68" customWidth="1"/>
    <col min="1282" max="1282" width="10" style="68" customWidth="1"/>
    <col min="1283" max="1283" width="14.44140625" style="68" customWidth="1"/>
    <col min="1284" max="1284" width="8" style="68" customWidth="1"/>
    <col min="1285" max="1285" width="38" style="68" customWidth="1"/>
    <col min="1286" max="1286" width="48.109375" style="68" customWidth="1"/>
    <col min="1287" max="1536" width="9" style="68"/>
    <col min="1537" max="1537" width="28.109375" style="68" customWidth="1"/>
    <col min="1538" max="1538" width="10" style="68" customWidth="1"/>
    <col min="1539" max="1539" width="14.44140625" style="68" customWidth="1"/>
    <col min="1540" max="1540" width="8" style="68" customWidth="1"/>
    <col min="1541" max="1541" width="38" style="68" customWidth="1"/>
    <col min="1542" max="1542" width="48.109375" style="68" customWidth="1"/>
    <col min="1543" max="1792" width="9" style="68"/>
    <col min="1793" max="1793" width="28.109375" style="68" customWidth="1"/>
    <col min="1794" max="1794" width="10" style="68" customWidth="1"/>
    <col min="1795" max="1795" width="14.44140625" style="68" customWidth="1"/>
    <col min="1796" max="1796" width="8" style="68" customWidth="1"/>
    <col min="1797" max="1797" width="38" style="68" customWidth="1"/>
    <col min="1798" max="1798" width="48.109375" style="68" customWidth="1"/>
    <col min="1799" max="2048" width="9" style="68"/>
    <col min="2049" max="2049" width="28.109375" style="68" customWidth="1"/>
    <col min="2050" max="2050" width="10" style="68" customWidth="1"/>
    <col min="2051" max="2051" width="14.44140625" style="68" customWidth="1"/>
    <col min="2052" max="2052" width="8" style="68" customWidth="1"/>
    <col min="2053" max="2053" width="38" style="68" customWidth="1"/>
    <col min="2054" max="2054" width="48.109375" style="68" customWidth="1"/>
    <col min="2055" max="2304" width="9" style="68"/>
    <col min="2305" max="2305" width="28.109375" style="68" customWidth="1"/>
    <col min="2306" max="2306" width="10" style="68" customWidth="1"/>
    <col min="2307" max="2307" width="14.44140625" style="68" customWidth="1"/>
    <col min="2308" max="2308" width="8" style="68" customWidth="1"/>
    <col min="2309" max="2309" width="38" style="68" customWidth="1"/>
    <col min="2310" max="2310" width="48.109375" style="68" customWidth="1"/>
    <col min="2311" max="2560" width="9" style="68"/>
    <col min="2561" max="2561" width="28.109375" style="68" customWidth="1"/>
    <col min="2562" max="2562" width="10" style="68" customWidth="1"/>
    <col min="2563" max="2563" width="14.44140625" style="68" customWidth="1"/>
    <col min="2564" max="2564" width="8" style="68" customWidth="1"/>
    <col min="2565" max="2565" width="38" style="68" customWidth="1"/>
    <col min="2566" max="2566" width="48.109375" style="68" customWidth="1"/>
    <col min="2567" max="2816" width="9" style="68"/>
    <col min="2817" max="2817" width="28.109375" style="68" customWidth="1"/>
    <col min="2818" max="2818" width="10" style="68" customWidth="1"/>
    <col min="2819" max="2819" width="14.44140625" style="68" customWidth="1"/>
    <col min="2820" max="2820" width="8" style="68" customWidth="1"/>
    <col min="2821" max="2821" width="38" style="68" customWidth="1"/>
    <col min="2822" max="2822" width="48.109375" style="68" customWidth="1"/>
    <col min="2823" max="3072" width="9" style="68"/>
    <col min="3073" max="3073" width="28.109375" style="68" customWidth="1"/>
    <col min="3074" max="3074" width="10" style="68" customWidth="1"/>
    <col min="3075" max="3075" width="14.44140625" style="68" customWidth="1"/>
    <col min="3076" max="3076" width="8" style="68" customWidth="1"/>
    <col min="3077" max="3077" width="38" style="68" customWidth="1"/>
    <col min="3078" max="3078" width="48.109375" style="68" customWidth="1"/>
    <col min="3079" max="3328" width="9" style="68"/>
    <col min="3329" max="3329" width="28.109375" style="68" customWidth="1"/>
    <col min="3330" max="3330" width="10" style="68" customWidth="1"/>
    <col min="3331" max="3331" width="14.44140625" style="68" customWidth="1"/>
    <col min="3332" max="3332" width="8" style="68" customWidth="1"/>
    <col min="3333" max="3333" width="38" style="68" customWidth="1"/>
    <col min="3334" max="3334" width="48.109375" style="68" customWidth="1"/>
    <col min="3335" max="3584" width="9" style="68"/>
    <col min="3585" max="3585" width="28.109375" style="68" customWidth="1"/>
    <col min="3586" max="3586" width="10" style="68" customWidth="1"/>
    <col min="3587" max="3587" width="14.44140625" style="68" customWidth="1"/>
    <col min="3588" max="3588" width="8" style="68" customWidth="1"/>
    <col min="3589" max="3589" width="38" style="68" customWidth="1"/>
    <col min="3590" max="3590" width="48.109375" style="68" customWidth="1"/>
    <col min="3591" max="3840" width="9" style="68"/>
    <col min="3841" max="3841" width="28.109375" style="68" customWidth="1"/>
    <col min="3842" max="3842" width="10" style="68" customWidth="1"/>
    <col min="3843" max="3843" width="14.44140625" style="68" customWidth="1"/>
    <col min="3844" max="3844" width="8" style="68" customWidth="1"/>
    <col min="3845" max="3845" width="38" style="68" customWidth="1"/>
    <col min="3846" max="3846" width="48.109375" style="68" customWidth="1"/>
    <col min="3847" max="4096" width="9" style="68"/>
    <col min="4097" max="4097" width="28.109375" style="68" customWidth="1"/>
    <col min="4098" max="4098" width="10" style="68" customWidth="1"/>
    <col min="4099" max="4099" width="14.44140625" style="68" customWidth="1"/>
    <col min="4100" max="4100" width="8" style="68" customWidth="1"/>
    <col min="4101" max="4101" width="38" style="68" customWidth="1"/>
    <col min="4102" max="4102" width="48.109375" style="68" customWidth="1"/>
    <col min="4103" max="4352" width="9" style="68"/>
    <col min="4353" max="4353" width="28.109375" style="68" customWidth="1"/>
    <col min="4354" max="4354" width="10" style="68" customWidth="1"/>
    <col min="4355" max="4355" width="14.44140625" style="68" customWidth="1"/>
    <col min="4356" max="4356" width="8" style="68" customWidth="1"/>
    <col min="4357" max="4357" width="38" style="68" customWidth="1"/>
    <col min="4358" max="4358" width="48.109375" style="68" customWidth="1"/>
    <col min="4359" max="4608" width="9" style="68"/>
    <col min="4609" max="4609" width="28.109375" style="68" customWidth="1"/>
    <col min="4610" max="4610" width="10" style="68" customWidth="1"/>
    <col min="4611" max="4611" width="14.44140625" style="68" customWidth="1"/>
    <col min="4612" max="4612" width="8" style="68" customWidth="1"/>
    <col min="4613" max="4613" width="38" style="68" customWidth="1"/>
    <col min="4614" max="4614" width="48.109375" style="68" customWidth="1"/>
    <col min="4615" max="4864" width="9" style="68"/>
    <col min="4865" max="4865" width="28.109375" style="68" customWidth="1"/>
    <col min="4866" max="4866" width="10" style="68" customWidth="1"/>
    <col min="4867" max="4867" width="14.44140625" style="68" customWidth="1"/>
    <col min="4868" max="4868" width="8" style="68" customWidth="1"/>
    <col min="4869" max="4869" width="38" style="68" customWidth="1"/>
    <col min="4870" max="4870" width="48.109375" style="68" customWidth="1"/>
    <col min="4871" max="5120" width="9" style="68"/>
    <col min="5121" max="5121" width="28.109375" style="68" customWidth="1"/>
    <col min="5122" max="5122" width="10" style="68" customWidth="1"/>
    <col min="5123" max="5123" width="14.44140625" style="68" customWidth="1"/>
    <col min="5124" max="5124" width="8" style="68" customWidth="1"/>
    <col min="5125" max="5125" width="38" style="68" customWidth="1"/>
    <col min="5126" max="5126" width="48.109375" style="68" customWidth="1"/>
    <col min="5127" max="5376" width="9" style="68"/>
    <col min="5377" max="5377" width="28.109375" style="68" customWidth="1"/>
    <col min="5378" max="5378" width="10" style="68" customWidth="1"/>
    <col min="5379" max="5379" width="14.44140625" style="68" customWidth="1"/>
    <col min="5380" max="5380" width="8" style="68" customWidth="1"/>
    <col min="5381" max="5381" width="38" style="68" customWidth="1"/>
    <col min="5382" max="5382" width="48.109375" style="68" customWidth="1"/>
    <col min="5383" max="5632" width="9" style="68"/>
    <col min="5633" max="5633" width="28.109375" style="68" customWidth="1"/>
    <col min="5634" max="5634" width="10" style="68" customWidth="1"/>
    <col min="5635" max="5635" width="14.44140625" style="68" customWidth="1"/>
    <col min="5636" max="5636" width="8" style="68" customWidth="1"/>
    <col min="5637" max="5637" width="38" style="68" customWidth="1"/>
    <col min="5638" max="5638" width="48.109375" style="68" customWidth="1"/>
    <col min="5639" max="5888" width="9" style="68"/>
    <col min="5889" max="5889" width="28.109375" style="68" customWidth="1"/>
    <col min="5890" max="5890" width="10" style="68" customWidth="1"/>
    <col min="5891" max="5891" width="14.44140625" style="68" customWidth="1"/>
    <col min="5892" max="5892" width="8" style="68" customWidth="1"/>
    <col min="5893" max="5893" width="38" style="68" customWidth="1"/>
    <col min="5894" max="5894" width="48.109375" style="68" customWidth="1"/>
    <col min="5895" max="6144" width="9" style="68"/>
    <col min="6145" max="6145" width="28.109375" style="68" customWidth="1"/>
    <col min="6146" max="6146" width="10" style="68" customWidth="1"/>
    <col min="6147" max="6147" width="14.44140625" style="68" customWidth="1"/>
    <col min="6148" max="6148" width="8" style="68" customWidth="1"/>
    <col min="6149" max="6149" width="38" style="68" customWidth="1"/>
    <col min="6150" max="6150" width="48.109375" style="68" customWidth="1"/>
    <col min="6151" max="6400" width="9" style="68"/>
    <col min="6401" max="6401" width="28.109375" style="68" customWidth="1"/>
    <col min="6402" max="6402" width="10" style="68" customWidth="1"/>
    <col min="6403" max="6403" width="14.44140625" style="68" customWidth="1"/>
    <col min="6404" max="6404" width="8" style="68" customWidth="1"/>
    <col min="6405" max="6405" width="38" style="68" customWidth="1"/>
    <col min="6406" max="6406" width="48.109375" style="68" customWidth="1"/>
    <col min="6407" max="6656" width="9" style="68"/>
    <col min="6657" max="6657" width="28.109375" style="68" customWidth="1"/>
    <col min="6658" max="6658" width="10" style="68" customWidth="1"/>
    <col min="6659" max="6659" width="14.44140625" style="68" customWidth="1"/>
    <col min="6660" max="6660" width="8" style="68" customWidth="1"/>
    <col min="6661" max="6661" width="38" style="68" customWidth="1"/>
    <col min="6662" max="6662" width="48.109375" style="68" customWidth="1"/>
    <col min="6663" max="6912" width="9" style="68"/>
    <col min="6913" max="6913" width="28.109375" style="68" customWidth="1"/>
    <col min="6914" max="6914" width="10" style="68" customWidth="1"/>
    <col min="6915" max="6915" width="14.44140625" style="68" customWidth="1"/>
    <col min="6916" max="6916" width="8" style="68" customWidth="1"/>
    <col min="6917" max="6917" width="38" style="68" customWidth="1"/>
    <col min="6918" max="6918" width="48.109375" style="68" customWidth="1"/>
    <col min="6919" max="7168" width="9" style="68"/>
    <col min="7169" max="7169" width="28.109375" style="68" customWidth="1"/>
    <col min="7170" max="7170" width="10" style="68" customWidth="1"/>
    <col min="7171" max="7171" width="14.44140625" style="68" customWidth="1"/>
    <col min="7172" max="7172" width="8" style="68" customWidth="1"/>
    <col min="7173" max="7173" width="38" style="68" customWidth="1"/>
    <col min="7174" max="7174" width="48.109375" style="68" customWidth="1"/>
    <col min="7175" max="7424" width="9" style="68"/>
    <col min="7425" max="7425" width="28.109375" style="68" customWidth="1"/>
    <col min="7426" max="7426" width="10" style="68" customWidth="1"/>
    <col min="7427" max="7427" width="14.44140625" style="68" customWidth="1"/>
    <col min="7428" max="7428" width="8" style="68" customWidth="1"/>
    <col min="7429" max="7429" width="38" style="68" customWidth="1"/>
    <col min="7430" max="7430" width="48.109375" style="68" customWidth="1"/>
    <col min="7431" max="7680" width="9" style="68"/>
    <col min="7681" max="7681" width="28.109375" style="68" customWidth="1"/>
    <col min="7682" max="7682" width="10" style="68" customWidth="1"/>
    <col min="7683" max="7683" width="14.44140625" style="68" customWidth="1"/>
    <col min="7684" max="7684" width="8" style="68" customWidth="1"/>
    <col min="7685" max="7685" width="38" style="68" customWidth="1"/>
    <col min="7686" max="7686" width="48.109375" style="68" customWidth="1"/>
    <col min="7687" max="7936" width="9" style="68"/>
    <col min="7937" max="7937" width="28.109375" style="68" customWidth="1"/>
    <col min="7938" max="7938" width="10" style="68" customWidth="1"/>
    <col min="7939" max="7939" width="14.44140625" style="68" customWidth="1"/>
    <col min="7940" max="7940" width="8" style="68" customWidth="1"/>
    <col min="7941" max="7941" width="38" style="68" customWidth="1"/>
    <col min="7942" max="7942" width="48.109375" style="68" customWidth="1"/>
    <col min="7943" max="8192" width="9" style="68"/>
    <col min="8193" max="8193" width="28.109375" style="68" customWidth="1"/>
    <col min="8194" max="8194" width="10" style="68" customWidth="1"/>
    <col min="8195" max="8195" width="14.44140625" style="68" customWidth="1"/>
    <col min="8196" max="8196" width="8" style="68" customWidth="1"/>
    <col min="8197" max="8197" width="38" style="68" customWidth="1"/>
    <col min="8198" max="8198" width="48.109375" style="68" customWidth="1"/>
    <col min="8199" max="8448" width="9" style="68"/>
    <col min="8449" max="8449" width="28.109375" style="68" customWidth="1"/>
    <col min="8450" max="8450" width="10" style="68" customWidth="1"/>
    <col min="8451" max="8451" width="14.44140625" style="68" customWidth="1"/>
    <col min="8452" max="8452" width="8" style="68" customWidth="1"/>
    <col min="8453" max="8453" width="38" style="68" customWidth="1"/>
    <col min="8454" max="8454" width="48.109375" style="68" customWidth="1"/>
    <col min="8455" max="8704" width="9" style="68"/>
    <col min="8705" max="8705" width="28.109375" style="68" customWidth="1"/>
    <col min="8706" max="8706" width="10" style="68" customWidth="1"/>
    <col min="8707" max="8707" width="14.44140625" style="68" customWidth="1"/>
    <col min="8708" max="8708" width="8" style="68" customWidth="1"/>
    <col min="8709" max="8709" width="38" style="68" customWidth="1"/>
    <col min="8710" max="8710" width="48.109375" style="68" customWidth="1"/>
    <col min="8711" max="8960" width="9" style="68"/>
    <col min="8961" max="8961" width="28.109375" style="68" customWidth="1"/>
    <col min="8962" max="8962" width="10" style="68" customWidth="1"/>
    <col min="8963" max="8963" width="14.44140625" style="68" customWidth="1"/>
    <col min="8964" max="8964" width="8" style="68" customWidth="1"/>
    <col min="8965" max="8965" width="38" style="68" customWidth="1"/>
    <col min="8966" max="8966" width="48.109375" style="68" customWidth="1"/>
    <col min="8967" max="9216" width="9" style="68"/>
    <col min="9217" max="9217" width="28.109375" style="68" customWidth="1"/>
    <col min="9218" max="9218" width="10" style="68" customWidth="1"/>
    <col min="9219" max="9219" width="14.44140625" style="68" customWidth="1"/>
    <col min="9220" max="9220" width="8" style="68" customWidth="1"/>
    <col min="9221" max="9221" width="38" style="68" customWidth="1"/>
    <col min="9222" max="9222" width="48.109375" style="68" customWidth="1"/>
    <col min="9223" max="9472" width="9" style="68"/>
    <col min="9473" max="9473" width="28.109375" style="68" customWidth="1"/>
    <col min="9474" max="9474" width="10" style="68" customWidth="1"/>
    <col min="9475" max="9475" width="14.44140625" style="68" customWidth="1"/>
    <col min="9476" max="9476" width="8" style="68" customWidth="1"/>
    <col min="9477" max="9477" width="38" style="68" customWidth="1"/>
    <col min="9478" max="9478" width="48.109375" style="68" customWidth="1"/>
    <col min="9479" max="9728" width="9" style="68"/>
    <col min="9729" max="9729" width="28.109375" style="68" customWidth="1"/>
    <col min="9730" max="9730" width="10" style="68" customWidth="1"/>
    <col min="9731" max="9731" width="14.44140625" style="68" customWidth="1"/>
    <col min="9732" max="9732" width="8" style="68" customWidth="1"/>
    <col min="9733" max="9733" width="38" style="68" customWidth="1"/>
    <col min="9734" max="9734" width="48.109375" style="68" customWidth="1"/>
    <col min="9735" max="9984" width="9" style="68"/>
    <col min="9985" max="9985" width="28.109375" style="68" customWidth="1"/>
    <col min="9986" max="9986" width="10" style="68" customWidth="1"/>
    <col min="9987" max="9987" width="14.44140625" style="68" customWidth="1"/>
    <col min="9988" max="9988" width="8" style="68" customWidth="1"/>
    <col min="9989" max="9989" width="38" style="68" customWidth="1"/>
    <col min="9990" max="9990" width="48.109375" style="68" customWidth="1"/>
    <col min="9991" max="10240" width="9" style="68"/>
    <col min="10241" max="10241" width="28.109375" style="68" customWidth="1"/>
    <col min="10242" max="10242" width="10" style="68" customWidth="1"/>
    <col min="10243" max="10243" width="14.44140625" style="68" customWidth="1"/>
    <col min="10244" max="10244" width="8" style="68" customWidth="1"/>
    <col min="10245" max="10245" width="38" style="68" customWidth="1"/>
    <col min="10246" max="10246" width="48.109375" style="68" customWidth="1"/>
    <col min="10247" max="10496" width="9" style="68"/>
    <col min="10497" max="10497" width="28.109375" style="68" customWidth="1"/>
    <col min="10498" max="10498" width="10" style="68" customWidth="1"/>
    <col min="10499" max="10499" width="14.44140625" style="68" customWidth="1"/>
    <col min="10500" max="10500" width="8" style="68" customWidth="1"/>
    <col min="10501" max="10501" width="38" style="68" customWidth="1"/>
    <col min="10502" max="10502" width="48.109375" style="68" customWidth="1"/>
    <col min="10503" max="10752" width="9" style="68"/>
    <col min="10753" max="10753" width="28.109375" style="68" customWidth="1"/>
    <col min="10754" max="10754" width="10" style="68" customWidth="1"/>
    <col min="10755" max="10755" width="14.44140625" style="68" customWidth="1"/>
    <col min="10756" max="10756" width="8" style="68" customWidth="1"/>
    <col min="10757" max="10757" width="38" style="68" customWidth="1"/>
    <col min="10758" max="10758" width="48.109375" style="68" customWidth="1"/>
    <col min="10759" max="11008" width="9" style="68"/>
    <col min="11009" max="11009" width="28.109375" style="68" customWidth="1"/>
    <col min="11010" max="11010" width="10" style="68" customWidth="1"/>
    <col min="11011" max="11011" width="14.44140625" style="68" customWidth="1"/>
    <col min="11012" max="11012" width="8" style="68" customWidth="1"/>
    <col min="11013" max="11013" width="38" style="68" customWidth="1"/>
    <col min="11014" max="11014" width="48.109375" style="68" customWidth="1"/>
    <col min="11015" max="11264" width="9" style="68"/>
    <col min="11265" max="11265" width="28.109375" style="68" customWidth="1"/>
    <col min="11266" max="11266" width="10" style="68" customWidth="1"/>
    <col min="11267" max="11267" width="14.44140625" style="68" customWidth="1"/>
    <col min="11268" max="11268" width="8" style="68" customWidth="1"/>
    <col min="11269" max="11269" width="38" style="68" customWidth="1"/>
    <col min="11270" max="11270" width="48.109375" style="68" customWidth="1"/>
    <col min="11271" max="11520" width="9" style="68"/>
    <col min="11521" max="11521" width="28.109375" style="68" customWidth="1"/>
    <col min="11522" max="11522" width="10" style="68" customWidth="1"/>
    <col min="11523" max="11523" width="14.44140625" style="68" customWidth="1"/>
    <col min="11524" max="11524" width="8" style="68" customWidth="1"/>
    <col min="11525" max="11525" width="38" style="68" customWidth="1"/>
    <col min="11526" max="11526" width="48.109375" style="68" customWidth="1"/>
    <col min="11527" max="11776" width="9" style="68"/>
    <col min="11777" max="11777" width="28.109375" style="68" customWidth="1"/>
    <col min="11778" max="11778" width="10" style="68" customWidth="1"/>
    <col min="11779" max="11779" width="14.44140625" style="68" customWidth="1"/>
    <col min="11780" max="11780" width="8" style="68" customWidth="1"/>
    <col min="11781" max="11781" width="38" style="68" customWidth="1"/>
    <col min="11782" max="11782" width="48.109375" style="68" customWidth="1"/>
    <col min="11783" max="12032" width="9" style="68"/>
    <col min="12033" max="12033" width="28.109375" style="68" customWidth="1"/>
    <col min="12034" max="12034" width="10" style="68" customWidth="1"/>
    <col min="12035" max="12035" width="14.44140625" style="68" customWidth="1"/>
    <col min="12036" max="12036" width="8" style="68" customWidth="1"/>
    <col min="12037" max="12037" width="38" style="68" customWidth="1"/>
    <col min="12038" max="12038" width="48.109375" style="68" customWidth="1"/>
    <col min="12039" max="12288" width="9" style="68"/>
    <col min="12289" max="12289" width="28.109375" style="68" customWidth="1"/>
    <col min="12290" max="12290" width="10" style="68" customWidth="1"/>
    <col min="12291" max="12291" width="14.44140625" style="68" customWidth="1"/>
    <col min="12292" max="12292" width="8" style="68" customWidth="1"/>
    <col min="12293" max="12293" width="38" style="68" customWidth="1"/>
    <col min="12294" max="12294" width="48.109375" style="68" customWidth="1"/>
    <col min="12295" max="12544" width="9" style="68"/>
    <col min="12545" max="12545" width="28.109375" style="68" customWidth="1"/>
    <col min="12546" max="12546" width="10" style="68" customWidth="1"/>
    <col min="12547" max="12547" width="14.44140625" style="68" customWidth="1"/>
    <col min="12548" max="12548" width="8" style="68" customWidth="1"/>
    <col min="12549" max="12549" width="38" style="68" customWidth="1"/>
    <col min="12550" max="12550" width="48.109375" style="68" customWidth="1"/>
    <col min="12551" max="12800" width="9" style="68"/>
    <col min="12801" max="12801" width="28.109375" style="68" customWidth="1"/>
    <col min="12802" max="12802" width="10" style="68" customWidth="1"/>
    <col min="12803" max="12803" width="14.44140625" style="68" customWidth="1"/>
    <col min="12804" max="12804" width="8" style="68" customWidth="1"/>
    <col min="12805" max="12805" width="38" style="68" customWidth="1"/>
    <col min="12806" max="12806" width="48.109375" style="68" customWidth="1"/>
    <col min="12807" max="13056" width="9" style="68"/>
    <col min="13057" max="13057" width="28.109375" style="68" customWidth="1"/>
    <col min="13058" max="13058" width="10" style="68" customWidth="1"/>
    <col min="13059" max="13059" width="14.44140625" style="68" customWidth="1"/>
    <col min="13060" max="13060" width="8" style="68" customWidth="1"/>
    <col min="13061" max="13061" width="38" style="68" customWidth="1"/>
    <col min="13062" max="13062" width="48.109375" style="68" customWidth="1"/>
    <col min="13063" max="13312" width="9" style="68"/>
    <col min="13313" max="13313" width="28.109375" style="68" customWidth="1"/>
    <col min="13314" max="13314" width="10" style="68" customWidth="1"/>
    <col min="13315" max="13315" width="14.44140625" style="68" customWidth="1"/>
    <col min="13316" max="13316" width="8" style="68" customWidth="1"/>
    <col min="13317" max="13317" width="38" style="68" customWidth="1"/>
    <col min="13318" max="13318" width="48.109375" style="68" customWidth="1"/>
    <col min="13319" max="13568" width="9" style="68"/>
    <col min="13569" max="13569" width="28.109375" style="68" customWidth="1"/>
    <col min="13570" max="13570" width="10" style="68" customWidth="1"/>
    <col min="13571" max="13571" width="14.44140625" style="68" customWidth="1"/>
    <col min="13572" max="13572" width="8" style="68" customWidth="1"/>
    <col min="13573" max="13573" width="38" style="68" customWidth="1"/>
    <col min="13574" max="13574" width="48.109375" style="68" customWidth="1"/>
    <col min="13575" max="13824" width="9" style="68"/>
    <col min="13825" max="13825" width="28.109375" style="68" customWidth="1"/>
    <col min="13826" max="13826" width="10" style="68" customWidth="1"/>
    <col min="13827" max="13827" width="14.44140625" style="68" customWidth="1"/>
    <col min="13828" max="13828" width="8" style="68" customWidth="1"/>
    <col min="13829" max="13829" width="38" style="68" customWidth="1"/>
    <col min="13830" max="13830" width="48.109375" style="68" customWidth="1"/>
    <col min="13831" max="14080" width="9" style="68"/>
    <col min="14081" max="14081" width="28.109375" style="68" customWidth="1"/>
    <col min="14082" max="14082" width="10" style="68" customWidth="1"/>
    <col min="14083" max="14083" width="14.44140625" style="68" customWidth="1"/>
    <col min="14084" max="14084" width="8" style="68" customWidth="1"/>
    <col min="14085" max="14085" width="38" style="68" customWidth="1"/>
    <col min="14086" max="14086" width="48.109375" style="68" customWidth="1"/>
    <col min="14087" max="14336" width="9" style="68"/>
    <col min="14337" max="14337" width="28.109375" style="68" customWidth="1"/>
    <col min="14338" max="14338" width="10" style="68" customWidth="1"/>
    <col min="14339" max="14339" width="14.44140625" style="68" customWidth="1"/>
    <col min="14340" max="14340" width="8" style="68" customWidth="1"/>
    <col min="14341" max="14341" width="38" style="68" customWidth="1"/>
    <col min="14342" max="14342" width="48.109375" style="68" customWidth="1"/>
    <col min="14343" max="14592" width="9" style="68"/>
    <col min="14593" max="14593" width="28.109375" style="68" customWidth="1"/>
    <col min="14594" max="14594" width="10" style="68" customWidth="1"/>
    <col min="14595" max="14595" width="14.44140625" style="68" customWidth="1"/>
    <col min="14596" max="14596" width="8" style="68" customWidth="1"/>
    <col min="14597" max="14597" width="38" style="68" customWidth="1"/>
    <col min="14598" max="14598" width="48.109375" style="68" customWidth="1"/>
    <col min="14599" max="14848" width="9" style="68"/>
    <col min="14849" max="14849" width="28.109375" style="68" customWidth="1"/>
    <col min="14850" max="14850" width="10" style="68" customWidth="1"/>
    <col min="14851" max="14851" width="14.44140625" style="68" customWidth="1"/>
    <col min="14852" max="14852" width="8" style="68" customWidth="1"/>
    <col min="14853" max="14853" width="38" style="68" customWidth="1"/>
    <col min="14854" max="14854" width="48.109375" style="68" customWidth="1"/>
    <col min="14855" max="15104" width="9" style="68"/>
    <col min="15105" max="15105" width="28.109375" style="68" customWidth="1"/>
    <col min="15106" max="15106" width="10" style="68" customWidth="1"/>
    <col min="15107" max="15107" width="14.44140625" style="68" customWidth="1"/>
    <col min="15108" max="15108" width="8" style="68" customWidth="1"/>
    <col min="15109" max="15109" width="38" style="68" customWidth="1"/>
    <col min="15110" max="15110" width="48.109375" style="68" customWidth="1"/>
    <col min="15111" max="15360" width="9" style="68"/>
    <col min="15361" max="15361" width="28.109375" style="68" customWidth="1"/>
    <col min="15362" max="15362" width="10" style="68" customWidth="1"/>
    <col min="15363" max="15363" width="14.44140625" style="68" customWidth="1"/>
    <col min="15364" max="15364" width="8" style="68" customWidth="1"/>
    <col min="15365" max="15365" width="38" style="68" customWidth="1"/>
    <col min="15366" max="15366" width="48.109375" style="68" customWidth="1"/>
    <col min="15367" max="15616" width="9" style="68"/>
    <col min="15617" max="15617" width="28.109375" style="68" customWidth="1"/>
    <col min="15618" max="15618" width="10" style="68" customWidth="1"/>
    <col min="15619" max="15619" width="14.44140625" style="68" customWidth="1"/>
    <col min="15620" max="15620" width="8" style="68" customWidth="1"/>
    <col min="15621" max="15621" width="38" style="68" customWidth="1"/>
    <col min="15622" max="15622" width="48.109375" style="68" customWidth="1"/>
    <col min="15623" max="15872" width="9" style="68"/>
    <col min="15873" max="15873" width="28.109375" style="68" customWidth="1"/>
    <col min="15874" max="15874" width="10" style="68" customWidth="1"/>
    <col min="15875" max="15875" width="14.44140625" style="68" customWidth="1"/>
    <col min="15876" max="15876" width="8" style="68" customWidth="1"/>
    <col min="15877" max="15877" width="38" style="68" customWidth="1"/>
    <col min="15878" max="15878" width="48.109375" style="68" customWidth="1"/>
    <col min="15879" max="16128" width="9" style="68"/>
    <col min="16129" max="16129" width="28.109375" style="68" customWidth="1"/>
    <col min="16130" max="16130" width="10" style="68" customWidth="1"/>
    <col min="16131" max="16131" width="14.44140625" style="68" customWidth="1"/>
    <col min="16132" max="16132" width="8" style="68" customWidth="1"/>
    <col min="16133" max="16133" width="38" style="68" customWidth="1"/>
    <col min="16134" max="16134" width="48.109375" style="68" customWidth="1"/>
    <col min="16135" max="16384" width="9" style="68"/>
  </cols>
  <sheetData>
    <row r="2" spans="1:6" s="65" customFormat="1" ht="75.75" customHeight="1">
      <c r="A2" s="64"/>
      <c r="B2" s="161" t="s">
        <v>0</v>
      </c>
      <c r="C2" s="161"/>
      <c r="D2" s="161"/>
      <c r="E2" s="161"/>
      <c r="F2" s="161"/>
    </row>
    <row r="3" spans="1:6">
      <c r="A3" s="66"/>
      <c r="B3" s="67"/>
      <c r="E3" s="69"/>
    </row>
    <row r="4" spans="1:6" ht="37.5" customHeight="1">
      <c r="A4" s="70" t="s">
        <v>1</v>
      </c>
      <c r="B4" s="162" t="s">
        <v>2</v>
      </c>
      <c r="C4" s="162"/>
      <c r="D4" s="162"/>
      <c r="E4" s="70" t="s">
        <v>3</v>
      </c>
      <c r="F4" s="71" t="s">
        <v>71</v>
      </c>
    </row>
    <row r="5" spans="1:6" ht="14.25" customHeight="1">
      <c r="A5" s="70" t="s">
        <v>4</v>
      </c>
      <c r="B5" s="163" t="s">
        <v>5</v>
      </c>
      <c r="C5" s="163"/>
      <c r="D5" s="163"/>
      <c r="E5" s="70" t="s">
        <v>6</v>
      </c>
      <c r="F5" s="72" t="s">
        <v>7</v>
      </c>
    </row>
    <row r="6" spans="1:6" ht="15.75" customHeight="1">
      <c r="A6" s="73" t="s">
        <v>8</v>
      </c>
      <c r="B6" s="164" t="str">
        <f>B5&amp;"_"&amp;"XXX"&amp;"_"&amp;"vx.x"</f>
        <v>PBL6_XXX_vx.x</v>
      </c>
      <c r="C6" s="165"/>
      <c r="D6" s="166"/>
      <c r="E6" s="70" t="s">
        <v>9</v>
      </c>
      <c r="F6" s="74">
        <v>1</v>
      </c>
    </row>
    <row r="7" spans="1:6">
      <c r="A7" s="75"/>
      <c r="B7" s="76"/>
      <c r="E7" s="77"/>
      <c r="F7" s="67"/>
    </row>
    <row r="8" spans="1:6">
      <c r="A8" s="68"/>
    </row>
    <row r="9" spans="1:6">
      <c r="A9" s="78" t="s">
        <v>10</v>
      </c>
    </row>
    <row r="10" spans="1:6" s="79" customFormat="1">
      <c r="A10" s="101" t="s">
        <v>11</v>
      </c>
      <c r="B10" s="102" t="s">
        <v>9</v>
      </c>
      <c r="C10" s="102" t="s">
        <v>12</v>
      </c>
      <c r="D10" s="102" t="s">
        <v>13</v>
      </c>
      <c r="E10" s="102" t="s">
        <v>14</v>
      </c>
      <c r="F10" s="103" t="s">
        <v>15</v>
      </c>
    </row>
    <row r="11" spans="1:6" s="80" customFormat="1" ht="63.6" customHeight="1">
      <c r="A11" s="134">
        <v>45920</v>
      </c>
      <c r="B11" s="135" t="s">
        <v>73</v>
      </c>
      <c r="C11" s="136" t="s">
        <v>74</v>
      </c>
      <c r="D11" s="137" t="s">
        <v>16</v>
      </c>
      <c r="E11" s="136" t="s">
        <v>94</v>
      </c>
      <c r="F11" s="133" t="s">
        <v>75</v>
      </c>
    </row>
    <row r="12" spans="1:6" s="80" customFormat="1" ht="63.6" customHeight="1">
      <c r="A12" s="134">
        <v>45921</v>
      </c>
      <c r="B12" s="135" t="s">
        <v>73</v>
      </c>
      <c r="C12" s="136" t="s">
        <v>76</v>
      </c>
      <c r="D12" s="137" t="s">
        <v>16</v>
      </c>
      <c r="E12" s="136" t="s">
        <v>77</v>
      </c>
      <c r="F12" s="133" t="s">
        <v>78</v>
      </c>
    </row>
    <row r="13" spans="1:6" s="80" customFormat="1" ht="88.2" customHeight="1">
      <c r="A13" s="138">
        <v>45923</v>
      </c>
      <c r="B13" s="135" t="s">
        <v>73</v>
      </c>
      <c r="C13" s="139" t="s">
        <v>79</v>
      </c>
      <c r="D13" s="137" t="s">
        <v>16</v>
      </c>
      <c r="E13" s="136" t="s">
        <v>95</v>
      </c>
      <c r="F13" s="132" t="s">
        <v>85</v>
      </c>
    </row>
    <row r="14" spans="1:6" s="80" customFormat="1" ht="104.4" customHeight="1">
      <c r="A14" s="138">
        <v>45924</v>
      </c>
      <c r="B14" s="135" t="s">
        <v>73</v>
      </c>
      <c r="C14" s="139" t="s">
        <v>79</v>
      </c>
      <c r="D14" s="137" t="s">
        <v>16</v>
      </c>
      <c r="E14" s="136" t="s">
        <v>96</v>
      </c>
      <c r="F14" s="132" t="s">
        <v>88</v>
      </c>
    </row>
    <row r="15" spans="1:6" s="80" customFormat="1" ht="71.400000000000006" customHeight="1">
      <c r="A15" s="138">
        <v>45924</v>
      </c>
      <c r="B15" s="135" t="s">
        <v>73</v>
      </c>
      <c r="C15" s="139" t="s">
        <v>79</v>
      </c>
      <c r="D15" s="137" t="s">
        <v>16</v>
      </c>
      <c r="E15" s="136" t="s">
        <v>97</v>
      </c>
      <c r="F15" s="132" t="s">
        <v>82</v>
      </c>
    </row>
    <row r="16" spans="1:6" s="80" customFormat="1" ht="85.2" customHeight="1">
      <c r="A16" s="138">
        <v>45924</v>
      </c>
      <c r="B16" s="135" t="s">
        <v>73</v>
      </c>
      <c r="C16" s="139" t="s">
        <v>79</v>
      </c>
      <c r="D16" s="137" t="s">
        <v>16</v>
      </c>
      <c r="E16" s="136" t="s">
        <v>98</v>
      </c>
      <c r="F16" s="132" t="s">
        <v>80</v>
      </c>
    </row>
    <row r="17" spans="1:6" s="80" customFormat="1" ht="19.5" customHeight="1">
      <c r="A17" s="95"/>
      <c r="B17" s="96"/>
      <c r="C17" s="97"/>
      <c r="D17" s="98"/>
      <c r="E17" s="98"/>
      <c r="F17" s="99"/>
    </row>
    <row r="18" spans="1:6" ht="13.8">
      <c r="A18" s="95"/>
      <c r="B18" s="100"/>
      <c r="C18" s="97"/>
      <c r="D18" s="98"/>
      <c r="E18" s="98"/>
      <c r="F18" s="99"/>
    </row>
    <row r="19" spans="1:6" ht="13.8">
      <c r="A19" s="95"/>
      <c r="B19" s="100"/>
      <c r="C19" s="97"/>
      <c r="D19" s="98"/>
      <c r="E19" s="98"/>
      <c r="F19" s="99"/>
    </row>
    <row r="20" spans="1:6" ht="13.8">
      <c r="A20" s="95"/>
      <c r="B20" s="100"/>
      <c r="C20" s="97"/>
      <c r="D20" s="98"/>
      <c r="E20" s="98"/>
      <c r="F20" s="99"/>
    </row>
    <row r="21" spans="1:6" ht="13.8">
      <c r="A21" s="95"/>
      <c r="B21" s="100"/>
      <c r="C21" s="97"/>
      <c r="D21" s="98"/>
      <c r="E21" s="98"/>
      <c r="F21" s="99"/>
    </row>
  </sheetData>
  <mergeCells count="4">
    <mergeCell ref="B2:F2"/>
    <mergeCell ref="B4:D4"/>
    <mergeCell ref="B5:D5"/>
    <mergeCell ref="B6:D6"/>
  </mergeCells>
  <phoneticPr fontId="31" type="noConversion"/>
  <hyperlinks>
    <hyperlink ref="F11" location="'Test Cases'!A1" display="Test Cases_x000a_" xr:uid="{05F07116-B029-4151-B9EF-66572FB59B6A}"/>
    <hyperlink ref="F12" location="'Test Statistics'!A1" display="Test Statistics" xr:uid="{DA114A56-13FE-4508-A4C4-753AAD76A998}"/>
    <hyperlink ref="F13" location="'Đăng ký tài khoản'!A1" display="Đăng ký" xr:uid="{D434A033-2425-4933-AE77-3C4A9C754FE0}"/>
    <hyperlink ref="F14:F15" location="'Feature 1'!A1" display="Feature1" xr:uid="{57753AD9-3AD3-455E-A424-6654D2793F9D}"/>
    <hyperlink ref="F16" location="'Ghi log hoạt động'!A1" display="Ghi log hoạt động" xr:uid="{4FF42899-C31C-423D-8497-52C0C1955B5F}"/>
    <hyperlink ref="F14" location="'Đăng nhập tài khoản'!A1" display="Đăng nhập" xr:uid="{1863352D-9E97-4EA5-8B7D-82E5B7927196}"/>
    <hyperlink ref="F15" location="'Quản lý hồ sơ'!A1" display="Quản lý hồ sơ" xr:uid="{8B2103A5-6212-45D0-A353-3F5385560547}"/>
  </hyperlinks>
  <pageMargins left="0.47013888888888888" right="0.47013888888888888" top="0.5" bottom="0.35138888888888886" header="0.51180555555555562" footer="0.1701388888888889"/>
  <pageSetup paperSize="9" firstPageNumber="0" orientation="landscape" horizontalDpi="300" verticalDpi="300"/>
  <headerFooter alignWithMargins="0">
    <oddFooter>&amp;L&amp;"Tahoma,Regular"&amp;8 02ae-BM/PM/HDCV/FSOFT v2/1&amp;C&amp;"Tahoma,Regular"&amp;8Internal use&amp;R&amp;"tahomaTahoma,Regular"&amp;8&amp;P/&amp;N</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4"/>
  <sheetViews>
    <sheetView topLeftCell="A7" workbookViewId="0">
      <selection activeCell="D5" sqref="D5:F5"/>
    </sheetView>
  </sheetViews>
  <sheetFormatPr defaultColWidth="9" defaultRowHeight="13.2"/>
  <cols>
    <col min="1" max="1" width="1.44140625" style="1" customWidth="1"/>
    <col min="2" max="2" width="11.6640625" style="3" customWidth="1"/>
    <col min="3" max="3" width="26.44140625" style="4" customWidth="1"/>
    <col min="4" max="4" width="20.6640625" style="4" customWidth="1"/>
    <col min="5" max="5" width="36.88671875" style="4" customWidth="1"/>
    <col min="6" max="6" width="34.88671875" style="4" customWidth="1"/>
    <col min="7" max="16384" width="9" style="1"/>
  </cols>
  <sheetData>
    <row r="1" spans="2:6" ht="24.6">
      <c r="B1" s="5"/>
      <c r="D1" s="6" t="s">
        <v>17</v>
      </c>
      <c r="E1" s="7"/>
    </row>
    <row r="2" spans="2:6" ht="13.5" customHeight="1">
      <c r="B2" s="5"/>
      <c r="D2" s="8"/>
      <c r="E2" s="8"/>
    </row>
    <row r="3" spans="2:6">
      <c r="B3" s="169" t="s">
        <v>1</v>
      </c>
      <c r="C3" s="169"/>
      <c r="D3" s="170" t="str">
        <f>Cover!B4</f>
        <v>Hệ thống giám sát an toàn công trường</v>
      </c>
      <c r="E3" s="170"/>
      <c r="F3" s="170"/>
    </row>
    <row r="4" spans="2:6">
      <c r="B4" s="169" t="s">
        <v>4</v>
      </c>
      <c r="C4" s="169"/>
      <c r="D4" s="170" t="str">
        <f>Cover!B5</f>
        <v>PBL6</v>
      </c>
      <c r="E4" s="170"/>
      <c r="F4" s="170"/>
    </row>
    <row r="5" spans="2:6" s="9" customFormat="1" ht="279" customHeight="1">
      <c r="B5" s="167" t="s">
        <v>18</v>
      </c>
      <c r="C5" s="167"/>
      <c r="D5" s="168" t="s">
        <v>19</v>
      </c>
      <c r="E5" s="168"/>
      <c r="F5" s="168"/>
    </row>
    <row r="6" spans="2:6">
      <c r="B6" s="10"/>
      <c r="C6" s="1"/>
      <c r="D6" s="1"/>
      <c r="E6" s="1"/>
      <c r="F6" s="1"/>
    </row>
    <row r="7" spans="2:6" s="11" customFormat="1">
      <c r="B7" s="12"/>
      <c r="C7" s="13"/>
      <c r="D7" s="13"/>
      <c r="E7" s="13"/>
      <c r="F7" s="13"/>
    </row>
    <row r="8" spans="2:6" s="14" customFormat="1" ht="21" customHeight="1">
      <c r="B8" s="83" t="s">
        <v>20</v>
      </c>
      <c r="C8" s="84" t="s">
        <v>21</v>
      </c>
      <c r="D8" s="84" t="s">
        <v>22</v>
      </c>
      <c r="E8" s="85" t="s">
        <v>23</v>
      </c>
      <c r="F8" s="86" t="s">
        <v>24</v>
      </c>
    </row>
    <row r="9" spans="2:6" ht="60.75" customHeight="1">
      <c r="B9" s="129">
        <v>1</v>
      </c>
      <c r="C9" s="127" t="s">
        <v>85</v>
      </c>
      <c r="D9" s="132" t="s">
        <v>85</v>
      </c>
      <c r="E9" s="128" t="s">
        <v>86</v>
      </c>
      <c r="F9" s="128" t="s">
        <v>87</v>
      </c>
    </row>
    <row r="10" spans="2:6" ht="75.75" customHeight="1">
      <c r="B10" s="129">
        <v>2</v>
      </c>
      <c r="C10" s="127" t="s">
        <v>88</v>
      </c>
      <c r="D10" s="132" t="s">
        <v>88</v>
      </c>
      <c r="E10" s="128" t="s">
        <v>89</v>
      </c>
      <c r="F10" s="128" t="s">
        <v>90</v>
      </c>
    </row>
    <row r="11" spans="2:6" ht="81" customHeight="1">
      <c r="B11" s="129">
        <v>3</v>
      </c>
      <c r="C11" s="127" t="s">
        <v>82</v>
      </c>
      <c r="D11" s="132" t="s">
        <v>82</v>
      </c>
      <c r="E11" s="128" t="s">
        <v>91</v>
      </c>
      <c r="F11" s="87" t="s">
        <v>25</v>
      </c>
    </row>
    <row r="12" spans="2:6" ht="72" customHeight="1">
      <c r="B12" s="129">
        <v>4</v>
      </c>
      <c r="C12" s="130" t="s">
        <v>80</v>
      </c>
      <c r="D12" s="132" t="s">
        <v>80</v>
      </c>
      <c r="E12" s="131" t="s">
        <v>92</v>
      </c>
      <c r="F12" s="131" t="s">
        <v>93</v>
      </c>
    </row>
    <row r="14" spans="2:6">
      <c r="B14" s="1"/>
      <c r="C14" s="1"/>
      <c r="D14" s="1"/>
      <c r="E14" s="1"/>
      <c r="F14" s="1"/>
    </row>
  </sheetData>
  <mergeCells count="6">
    <mergeCell ref="B5:C5"/>
    <mergeCell ref="D5:F5"/>
    <mergeCell ref="B3:C3"/>
    <mergeCell ref="D3:F3"/>
    <mergeCell ref="B4:C4"/>
    <mergeCell ref="D4:F4"/>
  </mergeCells>
  <phoneticPr fontId="0" type="noConversion"/>
  <hyperlinks>
    <hyperlink ref="D9" location="'Đăng ký tài khoản'!A1" display="Đăng ký" xr:uid="{00000000-0004-0000-0100-000000000000}"/>
    <hyperlink ref="D10:D11" location="'Feature 1'!A1" display="Feature1" xr:uid="{FDBA6C45-A91A-47D6-8C4E-C5FAFA30A0A9}"/>
    <hyperlink ref="D12" location="'Ghi log hoạt động'!A1" display="Ghi log hoạt động" xr:uid="{00000000-0004-0000-0100-000003000000}"/>
    <hyperlink ref="D10" location="'Đăng nhập tài khoản'!A1" display="Đăng nhập" xr:uid="{2538AC7B-EFB0-439E-AC14-DBDAC8F80E0A}"/>
    <hyperlink ref="D11" location="'Quản lý hồ sơ'!A1" display="Quản lý hồ sơ" xr:uid="{139FAD04-5EF0-443C-9F26-4BA3C8F78F60}"/>
  </hyperlinks>
  <pageMargins left="0.74791666666666667" right="0.74791666666666667" top="0.98402777777777783" bottom="1.1506944444444445" header="0.51180555555555562" footer="0.98402777777777783"/>
  <pageSetup paperSize="9" firstPageNumber="0" orientation="landscape" horizontalDpi="300" verticalDpi="300" r:id="rId1"/>
  <headerFooter alignWithMargins="0">
    <oddFooter>&amp;L&amp;"Tahoma,Regular"&amp;8 02ae-BM/PM/HDCV/FSOFT v2/0&amp;C&amp;"tahoma,Regular"&amp;8Internal use&amp;R&amp;"tahoma,Regular"&amp;8&amp;P/&amp;N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BCB51-39C5-46F0-89B2-E5B2E654213B}">
  <sheetPr>
    <outlinePr summaryBelow="0" summaryRight="0"/>
  </sheetPr>
  <dimension ref="A1:R61"/>
  <sheetViews>
    <sheetView zoomScale="85" zoomScaleNormal="85" workbookViewId="0">
      <pane ySplit="10" topLeftCell="A11" activePane="bottomLeft" state="frozen"/>
      <selection pane="bottomLeft" activeCell="B16" sqref="B16"/>
    </sheetView>
  </sheetViews>
  <sheetFormatPr defaultColWidth="9" defaultRowHeight="13.2" outlineLevelRow="1" outlineLevelCol="1"/>
  <cols>
    <col min="1" max="1" width="17" style="1" customWidth="1"/>
    <col min="2" max="2" width="34.44140625" style="1" customWidth="1"/>
    <col min="3" max="3" width="34.109375" style="1" customWidth="1"/>
    <col min="4" max="4" width="34.5546875" style="1" customWidth="1"/>
    <col min="5" max="5" width="28.44140625" style="1" customWidth="1"/>
    <col min="6" max="6" width="9.44140625" style="1" customWidth="1"/>
    <col min="7" max="7" width="10.5546875" style="1" customWidth="1" outlineLevel="1"/>
    <col min="8" max="8" width="14.33203125" style="1" bestFit="1" customWidth="1" outlineLevel="1"/>
    <col min="9" max="9" width="9.44140625" style="1" customWidth="1"/>
    <col min="10" max="10" width="10.5546875" style="1" customWidth="1" outlineLevel="1"/>
    <col min="11" max="11" width="14.109375" style="1" bestFit="1" customWidth="1" outlineLevel="1"/>
    <col min="12" max="12" width="9.44140625" style="1" customWidth="1"/>
    <col min="13" max="13" width="10.5546875" style="1" customWidth="1" outlineLevel="1"/>
    <col min="14" max="14" width="14.109375" style="1" bestFit="1" customWidth="1" outlineLevel="1"/>
    <col min="15" max="15" width="28.5546875" style="1" customWidth="1"/>
    <col min="16" max="16" width="10.109375" style="1" customWidth="1"/>
    <col min="17" max="17" width="8.109375" style="15" customWidth="1"/>
    <col min="18" max="18" width="7.5546875" style="1" hidden="1" customWidth="1"/>
    <col min="19" max="16384" width="9" style="1"/>
  </cols>
  <sheetData>
    <row r="1" spans="1:18" ht="13.8" thickBot="1"/>
    <row r="2" spans="1:18" s="17" customFormat="1" ht="15" customHeight="1">
      <c r="A2" s="62" t="s">
        <v>81</v>
      </c>
      <c r="B2" s="171" t="s">
        <v>146</v>
      </c>
      <c r="C2" s="171"/>
      <c r="D2" s="171"/>
      <c r="E2" s="172"/>
      <c r="F2" s="52"/>
      <c r="G2" s="46"/>
      <c r="H2" s="9"/>
      <c r="I2" s="52"/>
      <c r="J2" s="46"/>
      <c r="K2" s="9"/>
      <c r="L2" s="52"/>
      <c r="M2" s="46"/>
      <c r="N2" s="9"/>
      <c r="O2" s="9"/>
      <c r="P2" s="9"/>
      <c r="Q2" s="16"/>
      <c r="R2" s="17" t="s">
        <v>30</v>
      </c>
    </row>
    <row r="3" spans="1:18" s="17" customFormat="1" ht="26.4">
      <c r="A3" s="63" t="s">
        <v>40</v>
      </c>
      <c r="B3" s="173" t="s">
        <v>84</v>
      </c>
      <c r="C3" s="173"/>
      <c r="D3" s="173"/>
      <c r="E3" s="174"/>
      <c r="F3" s="52"/>
      <c r="G3" s="46"/>
      <c r="H3" s="9"/>
      <c r="I3" s="52"/>
      <c r="J3" s="46"/>
      <c r="K3" s="9"/>
      <c r="L3" s="52"/>
      <c r="M3" s="46"/>
      <c r="N3" s="9"/>
      <c r="O3" s="9"/>
      <c r="P3" s="9"/>
      <c r="Q3" s="16"/>
      <c r="R3" s="17" t="s">
        <v>31</v>
      </c>
    </row>
    <row r="4" spans="1:18" s="17" customFormat="1" ht="18" customHeight="1">
      <c r="A4" s="63" t="s">
        <v>41</v>
      </c>
      <c r="B4" s="173">
        <f>COUNTA(A12:A990)</f>
        <v>3</v>
      </c>
      <c r="C4" s="173"/>
      <c r="D4" s="173"/>
      <c r="E4" s="174"/>
      <c r="F4" s="52"/>
      <c r="G4" s="46"/>
      <c r="H4" s="9"/>
      <c r="I4" s="52"/>
      <c r="J4" s="46"/>
      <c r="K4" s="9"/>
      <c r="L4" s="52"/>
      <c r="M4" s="46"/>
      <c r="N4" s="9"/>
      <c r="O4" s="9"/>
      <c r="P4" s="9"/>
      <c r="Q4" s="16"/>
      <c r="R4" s="17" t="s">
        <v>32</v>
      </c>
    </row>
    <row r="5" spans="1:18" s="17" customFormat="1" ht="19.5" customHeight="1">
      <c r="A5" s="56" t="s">
        <v>42</v>
      </c>
      <c r="B5" s="54" t="s">
        <v>30</v>
      </c>
      <c r="C5" s="54" t="s">
        <v>31</v>
      </c>
      <c r="D5" s="54" t="s">
        <v>32</v>
      </c>
      <c r="E5" s="57" t="s">
        <v>33</v>
      </c>
      <c r="F5" s="47"/>
      <c r="G5" s="47"/>
      <c r="H5" s="18"/>
      <c r="I5" s="47"/>
      <c r="J5" s="47"/>
      <c r="K5" s="18"/>
      <c r="L5" s="47"/>
      <c r="M5" s="47"/>
      <c r="N5" s="18"/>
      <c r="O5" s="18"/>
      <c r="P5" s="18"/>
      <c r="Q5" s="19"/>
      <c r="R5" s="17" t="s">
        <v>33</v>
      </c>
    </row>
    <row r="6" spans="1:18" s="17" customFormat="1" ht="15" customHeight="1">
      <c r="A6" s="56" t="s">
        <v>43</v>
      </c>
      <c r="B6" s="55">
        <f>COUNTIF($F$10:$F$988,"Passed")</f>
        <v>0</v>
      </c>
      <c r="C6" s="55">
        <f>COUNTIF($F$10:$F$988,"Failed")</f>
        <v>0</v>
      </c>
      <c r="D6" s="55">
        <f>COUNTIF($F$10:$F$988,"pending")</f>
        <v>0</v>
      </c>
      <c r="E6" s="61">
        <f>COUNTIF($F10:$F988,E5)</f>
        <v>0</v>
      </c>
      <c r="F6" s="48"/>
      <c r="G6" s="48"/>
      <c r="H6" s="18"/>
      <c r="I6" s="48"/>
      <c r="J6" s="48"/>
      <c r="K6" s="18"/>
      <c r="L6" s="48"/>
      <c r="M6" s="48"/>
      <c r="N6" s="18"/>
      <c r="O6" s="18"/>
      <c r="P6" s="18"/>
      <c r="Q6" s="19"/>
    </row>
    <row r="7" spans="1:18" s="17" customFormat="1" ht="15" customHeight="1">
      <c r="A7" s="56" t="s">
        <v>44</v>
      </c>
      <c r="B7" s="55">
        <f>COUNTIF($I10:$I988,B5)</f>
        <v>0</v>
      </c>
      <c r="C7" s="55">
        <f>COUNTIF($I10:$I988,C5)</f>
        <v>0</v>
      </c>
      <c r="D7" s="55">
        <f>COUNTIF($I10:$I988,D5)</f>
        <v>0</v>
      </c>
      <c r="E7" s="61">
        <f>COUNTIF($I10:$I988,E5)</f>
        <v>0</v>
      </c>
      <c r="F7" s="48"/>
      <c r="G7" s="48"/>
      <c r="H7" s="18"/>
      <c r="I7" s="48"/>
      <c r="J7" s="48"/>
      <c r="K7" s="18"/>
      <c r="L7" s="48"/>
      <c r="M7" s="48"/>
      <c r="N7" s="18"/>
      <c r="O7" s="18"/>
      <c r="P7" s="18"/>
      <c r="Q7" s="19"/>
    </row>
    <row r="8" spans="1:18" s="17" customFormat="1" ht="15" customHeight="1" thickBot="1">
      <c r="A8" s="58" t="s">
        <v>45</v>
      </c>
      <c r="B8" s="59">
        <f>COUNTIF($L10:$L988,B5)</f>
        <v>0</v>
      </c>
      <c r="C8" s="59">
        <f>COUNTIF($L10:$L988,C5)</f>
        <v>0</v>
      </c>
      <c r="D8" s="59">
        <f>COUNTIF($L10:$L988,D5)</f>
        <v>0</v>
      </c>
      <c r="E8" s="60">
        <f>COUNTIF($F10:$F988,E5)</f>
        <v>0</v>
      </c>
      <c r="F8" s="48"/>
      <c r="G8" s="48"/>
      <c r="H8" s="18"/>
      <c r="I8" s="48"/>
      <c r="J8" s="48"/>
      <c r="K8" s="18"/>
      <c r="L8" s="48"/>
      <c r="M8" s="48"/>
      <c r="N8" s="18"/>
      <c r="O8" s="18"/>
      <c r="P8" s="18"/>
      <c r="Q8" s="19"/>
    </row>
    <row r="9" spans="1:18" s="17" customFormat="1" ht="15" customHeight="1">
      <c r="A9" s="18"/>
      <c r="B9" s="18"/>
      <c r="C9" s="18"/>
      <c r="D9" s="18"/>
      <c r="E9" s="18"/>
      <c r="F9" s="20"/>
      <c r="G9" s="18"/>
      <c r="H9" s="18"/>
      <c r="I9" s="20"/>
      <c r="J9" s="18"/>
      <c r="K9" s="18"/>
      <c r="L9" s="20"/>
      <c r="M9" s="18"/>
      <c r="N9" s="18"/>
      <c r="O9" s="18"/>
      <c r="P9" s="18"/>
      <c r="Q9" s="19"/>
    </row>
    <row r="10" spans="1:18" s="17" customFormat="1" ht="25.5" customHeight="1">
      <c r="A10" s="89" t="s">
        <v>46</v>
      </c>
      <c r="B10" s="89" t="s">
        <v>47</v>
      </c>
      <c r="C10" s="116" t="s">
        <v>48</v>
      </c>
      <c r="D10" s="89" t="s">
        <v>49</v>
      </c>
      <c r="E10" s="89" t="s">
        <v>50</v>
      </c>
      <c r="F10" s="89" t="s">
        <v>43</v>
      </c>
      <c r="G10" s="89" t="s">
        <v>51</v>
      </c>
      <c r="H10" s="89" t="s">
        <v>52</v>
      </c>
      <c r="I10" s="89" t="s">
        <v>44</v>
      </c>
      <c r="J10" s="89" t="s">
        <v>51</v>
      </c>
      <c r="K10" s="89" t="s">
        <v>52</v>
      </c>
      <c r="L10" s="89" t="s">
        <v>45</v>
      </c>
      <c r="M10" s="89" t="s">
        <v>51</v>
      </c>
      <c r="N10" s="89" t="s">
        <v>52</v>
      </c>
      <c r="O10" s="89" t="s">
        <v>53</v>
      </c>
      <c r="Q10" s="21"/>
    </row>
    <row r="11" spans="1:18" s="31" customFormat="1" ht="14.4" outlineLevel="1" thickBot="1">
      <c r="A11" s="126" t="s">
        <v>146</v>
      </c>
      <c r="B11" s="112"/>
      <c r="C11" s="117"/>
      <c r="D11" s="112"/>
      <c r="E11" s="112"/>
      <c r="F11" s="90"/>
      <c r="G11" s="90"/>
      <c r="H11" s="91"/>
      <c r="I11" s="90"/>
      <c r="J11" s="90"/>
      <c r="K11" s="91"/>
      <c r="L11" s="90"/>
      <c r="M11" s="90"/>
      <c r="N11" s="91"/>
      <c r="O11" s="91"/>
      <c r="Q11" s="30"/>
    </row>
    <row r="12" spans="1:18" s="17" customFormat="1" ht="28.2" thickBot="1">
      <c r="A12" s="140" t="s">
        <v>99</v>
      </c>
      <c r="B12" s="140" t="s">
        <v>100</v>
      </c>
      <c r="C12" s="140" t="s">
        <v>101</v>
      </c>
      <c r="D12" s="140" t="s">
        <v>102</v>
      </c>
      <c r="E12" s="140" t="s">
        <v>103</v>
      </c>
      <c r="F12" s="111"/>
      <c r="G12" s="92"/>
      <c r="H12" s="93"/>
      <c r="I12" s="94"/>
      <c r="J12" s="26"/>
      <c r="K12" s="93"/>
      <c r="L12" s="92"/>
      <c r="M12" s="92"/>
      <c r="N12" s="93"/>
      <c r="O12" s="93"/>
      <c r="Q12" s="25"/>
    </row>
    <row r="13" spans="1:18" s="17" customFormat="1" ht="28.2" thickBot="1">
      <c r="A13" s="140" t="s">
        <v>104</v>
      </c>
      <c r="B13" s="140" t="s">
        <v>105</v>
      </c>
      <c r="C13" s="140" t="s">
        <v>106</v>
      </c>
      <c r="D13" s="140" t="s">
        <v>102</v>
      </c>
      <c r="E13" s="140" t="s">
        <v>107</v>
      </c>
      <c r="F13" s="114"/>
      <c r="G13" s="104"/>
      <c r="H13" s="106"/>
      <c r="I13" s="105"/>
      <c r="J13" s="107"/>
      <c r="K13" s="106"/>
      <c r="L13" s="104"/>
      <c r="M13" s="104"/>
      <c r="N13" s="106"/>
      <c r="O13" s="106"/>
      <c r="Q13" s="25"/>
    </row>
    <row r="14" spans="1:18" ht="28.2" outlineLevel="1" thickBot="1">
      <c r="A14" s="140" t="s">
        <v>108</v>
      </c>
      <c r="B14" s="140" t="s">
        <v>109</v>
      </c>
      <c r="C14" s="140" t="s">
        <v>110</v>
      </c>
      <c r="D14" s="140" t="s">
        <v>102</v>
      </c>
      <c r="E14" s="140" t="s">
        <v>111</v>
      </c>
      <c r="F14" s="94"/>
      <c r="G14" s="108"/>
      <c r="H14" s="109"/>
      <c r="I14" s="94"/>
      <c r="J14" s="110"/>
      <c r="K14" s="109"/>
      <c r="L14" s="108"/>
      <c r="M14" s="108"/>
      <c r="N14" s="109"/>
      <c r="O14" s="109"/>
      <c r="Q14" s="30"/>
    </row>
    <row r="15" spans="1:18" ht="15.6">
      <c r="A15" s="113"/>
      <c r="B15" s="113"/>
      <c r="C15" s="118"/>
      <c r="D15" s="113"/>
      <c r="E15" s="113"/>
      <c r="F15" s="121"/>
      <c r="G15" s="120"/>
      <c r="H15" s="122"/>
      <c r="I15" s="121"/>
      <c r="J15" s="120"/>
      <c r="K15" s="122"/>
      <c r="L15" s="120"/>
      <c r="M15" s="120"/>
      <c r="N15" s="122"/>
      <c r="O15" s="122"/>
    </row>
    <row r="16" spans="1:18" ht="15.6">
      <c r="A16" s="113"/>
      <c r="B16" s="113"/>
      <c r="C16" s="118"/>
      <c r="D16" s="113"/>
      <c r="E16" s="113"/>
      <c r="F16" s="123"/>
      <c r="G16" s="120"/>
      <c r="H16" s="122"/>
      <c r="I16" s="123"/>
      <c r="J16" s="124"/>
      <c r="K16" s="122"/>
      <c r="L16" s="120"/>
      <c r="M16" s="120"/>
      <c r="N16" s="122"/>
      <c r="O16" s="122"/>
    </row>
    <row r="17" spans="1:15" ht="15.6">
      <c r="A17" s="113"/>
      <c r="B17" s="113"/>
      <c r="C17" s="118"/>
      <c r="D17" s="113"/>
      <c r="E17" s="113"/>
      <c r="F17" s="123"/>
      <c r="G17" s="120"/>
      <c r="H17" s="122"/>
      <c r="I17" s="123"/>
      <c r="J17" s="124"/>
      <c r="K17" s="122"/>
      <c r="L17" s="120"/>
      <c r="M17" s="120"/>
      <c r="N17" s="122"/>
      <c r="O17" s="122"/>
    </row>
    <row r="18" spans="1:15" ht="15.6">
      <c r="A18" s="113"/>
      <c r="B18" s="113"/>
      <c r="C18" s="119"/>
      <c r="D18" s="113"/>
      <c r="E18" s="113"/>
      <c r="F18" s="123"/>
      <c r="G18" s="120"/>
      <c r="H18" s="122"/>
      <c r="I18" s="123"/>
      <c r="J18" s="124"/>
      <c r="K18" s="122"/>
      <c r="L18" s="120"/>
      <c r="M18" s="120"/>
      <c r="N18" s="122"/>
      <c r="O18" s="122"/>
    </row>
    <row r="19" spans="1:15" ht="15.6">
      <c r="A19" s="113"/>
      <c r="B19" s="113"/>
      <c r="C19" s="118"/>
      <c r="D19" s="113"/>
      <c r="E19" s="113"/>
      <c r="F19" s="123"/>
      <c r="G19" s="120"/>
      <c r="H19" s="122"/>
      <c r="I19" s="123"/>
      <c r="J19" s="124"/>
      <c r="K19" s="122"/>
      <c r="L19" s="120"/>
      <c r="M19" s="120"/>
      <c r="N19" s="122"/>
      <c r="O19" s="122"/>
    </row>
    <row r="20" spans="1:15" ht="15.6">
      <c r="A20" s="113"/>
      <c r="B20" s="113"/>
      <c r="C20" s="119"/>
      <c r="D20" s="113"/>
      <c r="E20" s="113"/>
      <c r="F20" s="125"/>
      <c r="G20" s="120"/>
      <c r="H20" s="122"/>
      <c r="I20" s="125"/>
      <c r="J20" s="120"/>
      <c r="K20" s="122"/>
      <c r="L20" s="120"/>
      <c r="M20" s="120"/>
      <c r="N20" s="122"/>
      <c r="O20" s="122"/>
    </row>
    <row r="21" spans="1:15" ht="15.6">
      <c r="A21" s="113"/>
      <c r="B21" s="113"/>
      <c r="C21" s="119"/>
      <c r="D21" s="113"/>
      <c r="E21" s="113"/>
      <c r="F21" s="123"/>
      <c r="G21" s="120"/>
      <c r="H21" s="122"/>
      <c r="I21" s="123"/>
      <c r="J21" s="124"/>
      <c r="K21" s="122"/>
      <c r="L21" s="120"/>
      <c r="M21" s="120"/>
      <c r="N21" s="122"/>
      <c r="O21" s="122"/>
    </row>
    <row r="30" spans="1:15" ht="13.8">
      <c r="A30" s="88"/>
      <c r="B30" s="88"/>
      <c r="C30" s="88"/>
      <c r="D30" s="88"/>
      <c r="E30" s="88"/>
      <c r="F30" s="88"/>
      <c r="G30" s="88"/>
      <c r="H30" s="88"/>
      <c r="I30" s="88"/>
      <c r="J30" s="88"/>
      <c r="K30" s="88"/>
      <c r="L30" s="88"/>
      <c r="M30" s="88"/>
      <c r="N30" s="88"/>
      <c r="O30" s="88"/>
    </row>
    <row r="31" spans="1:15" ht="13.8">
      <c r="A31" s="88"/>
      <c r="B31" s="88"/>
      <c r="C31" s="88"/>
      <c r="D31" s="88"/>
      <c r="E31" s="88"/>
      <c r="F31" s="88"/>
      <c r="G31" s="88"/>
      <c r="H31" s="88"/>
      <c r="I31" s="88"/>
      <c r="J31" s="88"/>
      <c r="K31" s="88"/>
      <c r="L31" s="88"/>
      <c r="M31" s="88"/>
      <c r="N31" s="88"/>
      <c r="O31" s="88"/>
    </row>
    <row r="32" spans="1:15" ht="13.8">
      <c r="A32" s="88"/>
      <c r="B32" s="88"/>
      <c r="C32" s="88"/>
      <c r="D32" s="88"/>
      <c r="E32" s="88"/>
      <c r="F32" s="88"/>
      <c r="G32" s="88"/>
      <c r="H32" s="88"/>
      <c r="I32" s="88"/>
      <c r="J32" s="88"/>
      <c r="K32" s="88"/>
      <c r="L32" s="88"/>
      <c r="M32" s="88"/>
      <c r="N32" s="88"/>
      <c r="O32" s="88"/>
    </row>
    <row r="33" spans="1:15" ht="13.8">
      <c r="A33" s="88"/>
      <c r="B33" s="88"/>
      <c r="C33" s="88"/>
      <c r="D33" s="88"/>
      <c r="E33" s="88"/>
      <c r="F33" s="88"/>
      <c r="G33" s="88"/>
      <c r="H33" s="88"/>
      <c r="I33" s="88"/>
      <c r="J33" s="88"/>
      <c r="K33" s="88"/>
      <c r="L33" s="88"/>
      <c r="M33" s="88"/>
      <c r="N33" s="88"/>
      <c r="O33" s="88"/>
    </row>
    <row r="34" spans="1:15" ht="13.8">
      <c r="A34" s="88"/>
      <c r="B34" s="88"/>
      <c r="C34" s="88"/>
      <c r="D34" s="88"/>
      <c r="E34" s="88"/>
      <c r="F34" s="88"/>
      <c r="G34" s="88"/>
      <c r="H34" s="88"/>
      <c r="I34" s="88"/>
      <c r="J34" s="88"/>
      <c r="K34" s="88"/>
      <c r="L34" s="88"/>
      <c r="M34" s="88"/>
      <c r="N34" s="88"/>
      <c r="O34" s="88"/>
    </row>
    <row r="35" spans="1:15" ht="13.8">
      <c r="A35" s="88"/>
      <c r="B35" s="88"/>
      <c r="C35" s="88"/>
      <c r="D35" s="88"/>
      <c r="E35" s="88"/>
      <c r="F35" s="88"/>
      <c r="G35" s="88"/>
      <c r="H35" s="88"/>
      <c r="I35" s="88"/>
      <c r="J35" s="88"/>
      <c r="K35" s="88"/>
      <c r="L35" s="88"/>
      <c r="M35" s="88"/>
      <c r="N35" s="88"/>
      <c r="O35" s="88"/>
    </row>
    <row r="36" spans="1:15" ht="13.8">
      <c r="A36" s="88"/>
      <c r="B36" s="88"/>
      <c r="C36" s="88"/>
      <c r="D36" s="88"/>
      <c r="E36" s="88"/>
      <c r="F36" s="88"/>
      <c r="G36" s="88"/>
      <c r="H36" s="88"/>
      <c r="I36" s="88"/>
      <c r="J36" s="88"/>
      <c r="K36" s="88"/>
      <c r="L36" s="88"/>
      <c r="M36" s="88"/>
      <c r="N36" s="88"/>
      <c r="O36" s="88"/>
    </row>
    <row r="37" spans="1:15" ht="13.8">
      <c r="A37" s="88"/>
      <c r="B37" s="88"/>
      <c r="C37" s="88"/>
      <c r="D37" s="88"/>
      <c r="E37" s="88"/>
      <c r="F37" s="88"/>
      <c r="G37" s="88"/>
      <c r="H37" s="88"/>
      <c r="I37" s="88"/>
      <c r="J37" s="88"/>
      <c r="K37" s="88"/>
      <c r="L37" s="88"/>
      <c r="M37" s="88"/>
      <c r="N37" s="88"/>
      <c r="O37" s="88"/>
    </row>
    <row r="38" spans="1:15" ht="13.8">
      <c r="A38" s="88"/>
      <c r="B38" s="88"/>
      <c r="C38" s="88"/>
      <c r="D38" s="88"/>
      <c r="E38" s="88"/>
      <c r="F38" s="88"/>
      <c r="G38" s="88"/>
      <c r="H38" s="88"/>
      <c r="I38" s="88"/>
      <c r="J38" s="88"/>
      <c r="K38" s="88"/>
      <c r="L38" s="88"/>
      <c r="M38" s="88"/>
      <c r="N38" s="88"/>
      <c r="O38" s="88"/>
    </row>
    <row r="39" spans="1:15" ht="13.8">
      <c r="A39" s="88"/>
      <c r="B39" s="88"/>
      <c r="C39" s="88"/>
      <c r="D39" s="88"/>
      <c r="E39" s="88"/>
      <c r="F39" s="88"/>
      <c r="G39" s="88"/>
      <c r="H39" s="88"/>
      <c r="I39" s="88"/>
      <c r="J39" s="88"/>
      <c r="K39" s="88"/>
      <c r="L39" s="88"/>
      <c r="M39" s="88"/>
      <c r="N39" s="88"/>
      <c r="O39" s="88"/>
    </row>
    <row r="40" spans="1:15" ht="13.8">
      <c r="A40" s="88"/>
      <c r="B40" s="88"/>
      <c r="C40" s="88"/>
      <c r="D40" s="88"/>
      <c r="E40" s="88"/>
      <c r="F40" s="88"/>
      <c r="G40" s="88"/>
      <c r="H40" s="88"/>
      <c r="I40" s="88"/>
      <c r="J40" s="88"/>
      <c r="K40" s="88"/>
      <c r="L40" s="88"/>
      <c r="M40" s="88"/>
      <c r="N40" s="88"/>
      <c r="O40" s="88"/>
    </row>
    <row r="41" spans="1:15" ht="13.8">
      <c r="A41" s="88"/>
      <c r="B41" s="88"/>
      <c r="C41" s="88"/>
      <c r="D41" s="88"/>
      <c r="E41" s="88"/>
      <c r="F41" s="88"/>
      <c r="G41" s="88"/>
      <c r="H41" s="88"/>
      <c r="I41" s="88"/>
      <c r="J41" s="88"/>
      <c r="K41" s="88"/>
      <c r="L41" s="88"/>
      <c r="M41" s="88"/>
      <c r="N41" s="88"/>
      <c r="O41" s="88"/>
    </row>
    <row r="42" spans="1:15" ht="13.8">
      <c r="A42" s="88"/>
      <c r="B42" s="88"/>
      <c r="C42" s="88"/>
      <c r="D42" s="88"/>
      <c r="E42" s="88"/>
      <c r="F42" s="88"/>
      <c r="G42" s="88"/>
      <c r="H42" s="88"/>
      <c r="I42" s="88"/>
      <c r="J42" s="88"/>
      <c r="K42" s="88"/>
      <c r="L42" s="88"/>
      <c r="M42" s="88"/>
      <c r="N42" s="88"/>
      <c r="O42" s="88"/>
    </row>
    <row r="43" spans="1:15" ht="13.8">
      <c r="A43" s="88"/>
      <c r="B43" s="88"/>
      <c r="C43" s="88"/>
      <c r="D43" s="88"/>
      <c r="E43" s="88"/>
      <c r="F43" s="88"/>
      <c r="G43" s="88"/>
      <c r="H43" s="88"/>
      <c r="I43" s="88"/>
      <c r="J43" s="88"/>
      <c r="K43" s="88"/>
      <c r="L43" s="88"/>
      <c r="M43" s="88"/>
      <c r="N43" s="88"/>
      <c r="O43" s="88"/>
    </row>
    <row r="44" spans="1:15" ht="13.8">
      <c r="A44" s="88"/>
      <c r="B44" s="88"/>
      <c r="C44" s="88"/>
      <c r="D44" s="88"/>
      <c r="E44" s="88"/>
      <c r="F44" s="88"/>
      <c r="G44" s="88"/>
      <c r="H44" s="88"/>
      <c r="I44" s="88"/>
      <c r="J44" s="88"/>
      <c r="K44" s="88"/>
      <c r="L44" s="88"/>
      <c r="M44" s="88"/>
      <c r="N44" s="88"/>
      <c r="O44" s="88"/>
    </row>
    <row r="45" spans="1:15" ht="13.8">
      <c r="A45" s="88"/>
      <c r="B45" s="88"/>
      <c r="C45" s="88"/>
      <c r="D45" s="88"/>
      <c r="E45" s="88"/>
      <c r="F45" s="88"/>
      <c r="G45" s="88"/>
      <c r="H45" s="88"/>
      <c r="I45" s="88"/>
      <c r="J45" s="88"/>
      <c r="K45" s="88"/>
      <c r="L45" s="88"/>
      <c r="M45" s="88"/>
      <c r="N45" s="88"/>
      <c r="O45" s="88"/>
    </row>
    <row r="46" spans="1:15" ht="13.8">
      <c r="A46" s="88"/>
      <c r="B46" s="88"/>
      <c r="C46" s="88"/>
      <c r="D46" s="88"/>
      <c r="E46" s="88"/>
      <c r="F46" s="88"/>
      <c r="G46" s="88"/>
      <c r="H46" s="88"/>
      <c r="I46" s="88"/>
      <c r="J46" s="88"/>
      <c r="K46" s="88"/>
      <c r="L46" s="88"/>
      <c r="M46" s="88"/>
      <c r="N46" s="88"/>
      <c r="O46" s="88"/>
    </row>
    <row r="47" spans="1:15" ht="13.8">
      <c r="A47" s="88"/>
      <c r="B47" s="88"/>
      <c r="C47" s="88"/>
      <c r="D47" s="88"/>
      <c r="E47" s="88"/>
      <c r="F47" s="88"/>
      <c r="G47" s="88"/>
      <c r="H47" s="88"/>
      <c r="I47" s="88"/>
      <c r="J47" s="88"/>
      <c r="K47" s="88"/>
      <c r="L47" s="88"/>
      <c r="M47" s="88"/>
      <c r="N47" s="88"/>
      <c r="O47" s="88"/>
    </row>
    <row r="48" spans="1:15" ht="13.8">
      <c r="A48" s="88"/>
      <c r="B48" s="88"/>
      <c r="C48" s="88"/>
      <c r="D48" s="88"/>
      <c r="E48" s="88"/>
      <c r="F48" s="88"/>
      <c r="G48" s="88"/>
      <c r="H48" s="88"/>
      <c r="I48" s="88"/>
      <c r="J48" s="88"/>
      <c r="K48" s="88"/>
      <c r="L48" s="88"/>
      <c r="M48" s="88"/>
      <c r="N48" s="88"/>
      <c r="O48" s="88"/>
    </row>
    <row r="49" spans="1:15" ht="13.8">
      <c r="A49" s="88"/>
      <c r="B49" s="88"/>
      <c r="C49" s="88"/>
      <c r="D49" s="88"/>
      <c r="E49" s="88"/>
      <c r="F49" s="88"/>
      <c r="G49" s="88"/>
      <c r="H49" s="88"/>
      <c r="I49" s="88"/>
      <c r="J49" s="88"/>
      <c r="K49" s="88"/>
      <c r="L49" s="88"/>
      <c r="M49" s="88"/>
      <c r="N49" s="88"/>
      <c r="O49" s="88"/>
    </row>
    <row r="50" spans="1:15" ht="13.8">
      <c r="A50" s="88"/>
      <c r="B50" s="88"/>
      <c r="C50" s="88"/>
      <c r="D50" s="88"/>
      <c r="E50" s="88"/>
      <c r="F50" s="88"/>
      <c r="G50" s="88"/>
      <c r="H50" s="88"/>
      <c r="I50" s="88"/>
      <c r="J50" s="88"/>
      <c r="K50" s="88"/>
      <c r="L50" s="88"/>
      <c r="M50" s="88"/>
      <c r="N50" s="88"/>
      <c r="O50" s="88"/>
    </row>
    <row r="51" spans="1:15" ht="13.8">
      <c r="A51" s="88"/>
      <c r="B51" s="88"/>
      <c r="C51" s="88"/>
      <c r="D51" s="88"/>
      <c r="E51" s="88"/>
      <c r="F51" s="88"/>
      <c r="G51" s="88"/>
      <c r="H51" s="88"/>
      <c r="I51" s="88"/>
      <c r="J51" s="88"/>
      <c r="K51" s="88"/>
      <c r="L51" s="88"/>
      <c r="M51" s="88"/>
      <c r="N51" s="88"/>
      <c r="O51" s="88"/>
    </row>
    <row r="52" spans="1:15" ht="13.8">
      <c r="A52" s="88"/>
      <c r="B52" s="88"/>
      <c r="C52" s="88"/>
      <c r="D52" s="88"/>
      <c r="E52" s="88"/>
      <c r="F52" s="88"/>
      <c r="G52" s="88"/>
      <c r="H52" s="88"/>
      <c r="I52" s="88"/>
      <c r="J52" s="88"/>
      <c r="K52" s="88"/>
      <c r="L52" s="88"/>
      <c r="M52" s="88"/>
      <c r="N52" s="88"/>
      <c r="O52" s="88"/>
    </row>
    <row r="53" spans="1:15" ht="13.8">
      <c r="A53" s="88"/>
      <c r="B53" s="88"/>
      <c r="C53" s="88"/>
      <c r="D53" s="88"/>
      <c r="E53" s="88"/>
      <c r="F53" s="88"/>
      <c r="G53" s="88"/>
      <c r="H53" s="88"/>
      <c r="I53" s="88"/>
      <c r="J53" s="88"/>
      <c r="K53" s="88"/>
      <c r="L53" s="88"/>
      <c r="M53" s="88"/>
      <c r="N53" s="88"/>
      <c r="O53" s="88"/>
    </row>
    <row r="54" spans="1:15" ht="13.8">
      <c r="A54" s="88"/>
      <c r="B54" s="88"/>
      <c r="C54" s="88"/>
      <c r="D54" s="88"/>
      <c r="E54" s="88"/>
      <c r="F54" s="88"/>
      <c r="G54" s="88"/>
      <c r="H54" s="88"/>
      <c r="I54" s="88"/>
      <c r="J54" s="88"/>
      <c r="K54" s="88"/>
      <c r="L54" s="88"/>
      <c r="M54" s="88"/>
      <c r="N54" s="88"/>
      <c r="O54" s="88"/>
    </row>
    <row r="55" spans="1:15" ht="13.8">
      <c r="A55" s="88"/>
      <c r="B55" s="88"/>
      <c r="C55" s="88"/>
      <c r="D55" s="88"/>
      <c r="E55" s="88"/>
      <c r="F55" s="88"/>
      <c r="G55" s="88"/>
      <c r="H55" s="88"/>
      <c r="I55" s="88"/>
      <c r="J55" s="88"/>
      <c r="K55" s="88"/>
      <c r="L55" s="88"/>
      <c r="M55" s="88"/>
      <c r="N55" s="88"/>
      <c r="O55" s="88"/>
    </row>
    <row r="56" spans="1:15" ht="13.8">
      <c r="A56" s="88"/>
      <c r="B56" s="88"/>
      <c r="C56" s="88"/>
      <c r="D56" s="88"/>
      <c r="E56" s="88"/>
      <c r="F56" s="88"/>
      <c r="G56" s="88"/>
      <c r="H56" s="88"/>
      <c r="I56" s="88"/>
      <c r="J56" s="88"/>
      <c r="K56" s="88"/>
      <c r="L56" s="88"/>
      <c r="M56" s="88"/>
      <c r="N56" s="88"/>
      <c r="O56" s="88"/>
    </row>
    <row r="57" spans="1:15" ht="13.8">
      <c r="A57" s="88"/>
      <c r="B57" s="88"/>
      <c r="C57" s="88"/>
      <c r="D57" s="88"/>
      <c r="E57" s="88"/>
      <c r="F57" s="88"/>
      <c r="G57" s="88"/>
      <c r="H57" s="88"/>
      <c r="I57" s="88"/>
      <c r="J57" s="88"/>
      <c r="K57" s="88"/>
      <c r="L57" s="88"/>
      <c r="M57" s="88"/>
      <c r="N57" s="88"/>
      <c r="O57" s="88"/>
    </row>
    <row r="58" spans="1:15" ht="13.8">
      <c r="A58" s="88"/>
      <c r="B58" s="88"/>
      <c r="C58" s="88"/>
      <c r="D58" s="88"/>
      <c r="E58" s="88"/>
      <c r="F58" s="88"/>
      <c r="G58" s="88"/>
      <c r="H58" s="88"/>
      <c r="I58" s="88"/>
      <c r="J58" s="88"/>
      <c r="K58" s="88"/>
      <c r="L58" s="88"/>
      <c r="M58" s="88"/>
      <c r="N58" s="88"/>
      <c r="O58" s="88"/>
    </row>
    <row r="59" spans="1:15" ht="13.8">
      <c r="A59" s="88"/>
      <c r="B59" s="88"/>
      <c r="C59" s="88"/>
      <c r="D59" s="88"/>
      <c r="E59" s="88"/>
      <c r="F59" s="88"/>
      <c r="G59" s="88"/>
      <c r="H59" s="88"/>
      <c r="I59" s="88"/>
      <c r="J59" s="88"/>
      <c r="K59" s="88"/>
      <c r="L59" s="88"/>
      <c r="M59" s="88"/>
      <c r="N59" s="88"/>
      <c r="O59" s="88"/>
    </row>
    <row r="60" spans="1:15" ht="13.8">
      <c r="A60" s="88"/>
      <c r="B60" s="88"/>
      <c r="C60" s="88"/>
      <c r="D60" s="88"/>
      <c r="E60" s="88"/>
      <c r="F60" s="88"/>
      <c r="G60" s="88"/>
      <c r="H60" s="88"/>
      <c r="I60" s="88"/>
      <c r="J60" s="88"/>
      <c r="K60" s="88"/>
      <c r="L60" s="88"/>
      <c r="M60" s="88"/>
      <c r="N60" s="88"/>
      <c r="O60" s="88"/>
    </row>
    <row r="61" spans="1:15" ht="13.8">
      <c r="A61" s="88"/>
      <c r="B61" s="88"/>
      <c r="C61" s="88"/>
      <c r="D61" s="88"/>
      <c r="E61" s="88"/>
      <c r="F61" s="88"/>
      <c r="G61" s="88"/>
      <c r="H61" s="88"/>
      <c r="I61" s="88"/>
      <c r="J61" s="88"/>
      <c r="K61" s="88"/>
      <c r="L61" s="88"/>
      <c r="M61" s="88"/>
      <c r="N61" s="88"/>
      <c r="O61" s="88"/>
    </row>
  </sheetData>
  <mergeCells count="3">
    <mergeCell ref="B2:E2"/>
    <mergeCell ref="B3:E3"/>
    <mergeCell ref="B4:E4"/>
  </mergeCells>
  <phoneticPr fontId="31" type="noConversion"/>
  <dataValidations count="2">
    <dataValidation allowBlank="1" showErrorMessage="1" sqref="F10 I10 L10" xr:uid="{462D51F0-CD22-4099-9587-7AFE7C45EA99}"/>
    <dataValidation type="list" allowBlank="1" showErrorMessage="1" sqref="G2:G3 G9 M2:M3 J30:J137 J2:J3 J9 M9 M30:M137 G30:G137" xr:uid="{CB14BE68-8794-4A9D-B7DF-A6707D0F3D08}">
      <formula1>$R$2:$R$5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05CF4-EF8E-4539-A37C-66CA5B471567}">
  <sheetPr>
    <outlinePr summaryBelow="0" summaryRight="0"/>
  </sheetPr>
  <dimension ref="A1:S61"/>
  <sheetViews>
    <sheetView zoomScale="85" zoomScaleNormal="85" workbookViewId="0">
      <pane ySplit="10" topLeftCell="A11" activePane="bottomLeft" state="frozen"/>
      <selection pane="bottomLeft" activeCell="B13" sqref="B13"/>
    </sheetView>
  </sheetViews>
  <sheetFormatPr defaultColWidth="9" defaultRowHeight="13.2" outlineLevelRow="1" outlineLevelCol="1"/>
  <cols>
    <col min="1" max="1" width="17" style="1" customWidth="1"/>
    <col min="2" max="2" width="34.44140625" style="1" customWidth="1"/>
    <col min="3" max="3" width="34.109375" style="1" customWidth="1"/>
    <col min="4" max="5" width="34.5546875" style="1" customWidth="1"/>
    <col min="6" max="6" width="28.44140625" style="1" customWidth="1"/>
    <col min="7" max="7" width="9.44140625" style="1" customWidth="1"/>
    <col min="8" max="8" width="10.5546875" style="1" customWidth="1" outlineLevel="1"/>
    <col min="9" max="9" width="14.33203125" style="1" bestFit="1" customWidth="1" outlineLevel="1"/>
    <col min="10" max="10" width="9.44140625" style="1" customWidth="1"/>
    <col min="11" max="11" width="10.5546875" style="1" customWidth="1" outlineLevel="1"/>
    <col min="12" max="12" width="14.109375" style="1" bestFit="1" customWidth="1" outlineLevel="1"/>
    <col min="13" max="13" width="9.44140625" style="1" customWidth="1"/>
    <col min="14" max="14" width="10.5546875" style="1" customWidth="1" outlineLevel="1"/>
    <col min="15" max="15" width="14.109375" style="1" bestFit="1" customWidth="1" outlineLevel="1"/>
    <col min="16" max="16" width="28.5546875" style="1" customWidth="1"/>
    <col min="17" max="17" width="10.109375" style="1" customWidth="1"/>
    <col min="18" max="18" width="8.109375" style="15" customWidth="1"/>
    <col min="19" max="19" width="7.5546875" style="1" hidden="1" customWidth="1"/>
    <col min="20" max="16384" width="9" style="1"/>
  </cols>
  <sheetData>
    <row r="1" spans="1:19" ht="13.8" thickBot="1"/>
    <row r="2" spans="1:19" s="17" customFormat="1" ht="15" customHeight="1">
      <c r="A2" s="62" t="s">
        <v>81</v>
      </c>
      <c r="B2" s="171" t="s">
        <v>142</v>
      </c>
      <c r="C2" s="171"/>
      <c r="D2" s="171"/>
      <c r="E2" s="175"/>
      <c r="F2" s="172"/>
      <c r="G2" s="52"/>
      <c r="H2" s="46"/>
      <c r="I2" s="9"/>
      <c r="J2" s="52"/>
      <c r="K2" s="46"/>
      <c r="L2" s="9"/>
      <c r="M2" s="52"/>
      <c r="N2" s="46"/>
      <c r="O2" s="9"/>
      <c r="P2" s="9"/>
      <c r="Q2" s="9"/>
      <c r="R2" s="16"/>
      <c r="S2" s="17" t="s">
        <v>30</v>
      </c>
    </row>
    <row r="3" spans="1:19" s="17" customFormat="1" ht="26.4">
      <c r="A3" s="63" t="s">
        <v>40</v>
      </c>
      <c r="B3" s="173" t="s">
        <v>84</v>
      </c>
      <c r="C3" s="173"/>
      <c r="D3" s="173"/>
      <c r="E3" s="176"/>
      <c r="F3" s="174"/>
      <c r="G3" s="52"/>
      <c r="H3" s="46"/>
      <c r="I3" s="9"/>
      <c r="J3" s="52"/>
      <c r="K3" s="46"/>
      <c r="L3" s="9"/>
      <c r="M3" s="52"/>
      <c r="N3" s="46"/>
      <c r="O3" s="9"/>
      <c r="P3" s="9"/>
      <c r="Q3" s="9"/>
      <c r="R3" s="16"/>
      <c r="S3" s="17" t="s">
        <v>31</v>
      </c>
    </row>
    <row r="4" spans="1:19" s="17" customFormat="1" ht="18" customHeight="1">
      <c r="A4" s="63" t="s">
        <v>41</v>
      </c>
      <c r="B4" s="173">
        <f>COUNTA(A12:A990)</f>
        <v>3</v>
      </c>
      <c r="C4" s="173"/>
      <c r="D4" s="173"/>
      <c r="E4" s="176"/>
      <c r="F4" s="174"/>
      <c r="G4" s="52"/>
      <c r="H4" s="46"/>
      <c r="I4" s="9"/>
      <c r="J4" s="52"/>
      <c r="K4" s="46"/>
      <c r="L4" s="9"/>
      <c r="M4" s="52"/>
      <c r="N4" s="46"/>
      <c r="O4" s="9"/>
      <c r="P4" s="9"/>
      <c r="Q4" s="9"/>
      <c r="R4" s="16"/>
      <c r="S4" s="17" t="s">
        <v>32</v>
      </c>
    </row>
    <row r="5" spans="1:19" s="17" customFormat="1" ht="19.5" customHeight="1">
      <c r="A5" s="56" t="s">
        <v>42</v>
      </c>
      <c r="B5" s="54" t="s">
        <v>30</v>
      </c>
      <c r="C5" s="54" t="s">
        <v>31</v>
      </c>
      <c r="D5" s="54" t="s">
        <v>32</v>
      </c>
      <c r="E5" s="142"/>
      <c r="F5" s="57" t="s">
        <v>33</v>
      </c>
      <c r="G5" s="47"/>
      <c r="H5" s="47"/>
      <c r="I5" s="18"/>
      <c r="J5" s="47"/>
      <c r="K5" s="47"/>
      <c r="L5" s="18"/>
      <c r="M5" s="47"/>
      <c r="N5" s="47"/>
      <c r="O5" s="18"/>
      <c r="P5" s="18"/>
      <c r="Q5" s="18"/>
      <c r="R5" s="19"/>
      <c r="S5" s="17" t="s">
        <v>33</v>
      </c>
    </row>
    <row r="6" spans="1:19" s="17" customFormat="1" ht="15" customHeight="1">
      <c r="A6" s="56" t="s">
        <v>43</v>
      </c>
      <c r="B6" s="55">
        <f>COUNTIF($G$10:$G$988,"Passed")</f>
        <v>0</v>
      </c>
      <c r="C6" s="55">
        <f>COUNTIF($G$10:$G$988,"Failed")</f>
        <v>0</v>
      </c>
      <c r="D6" s="55">
        <f>COUNTIF($G$10:$G$988,"pending")</f>
        <v>0</v>
      </c>
      <c r="E6" s="143"/>
      <c r="F6" s="61">
        <f>COUNTIF($G10:$G988,F5)</f>
        <v>0</v>
      </c>
      <c r="G6" s="48"/>
      <c r="H6" s="48"/>
      <c r="I6" s="18"/>
      <c r="J6" s="48"/>
      <c r="K6" s="48"/>
      <c r="L6" s="18"/>
      <c r="M6" s="48"/>
      <c r="N6" s="48"/>
      <c r="O6" s="18"/>
      <c r="P6" s="18"/>
      <c r="Q6" s="18"/>
      <c r="R6" s="19"/>
    </row>
    <row r="7" spans="1:19" s="17" customFormat="1" ht="15" customHeight="1">
      <c r="A7" s="56" t="s">
        <v>44</v>
      </c>
      <c r="B7" s="55">
        <f>COUNTIF($J10:$J988,B5)</f>
        <v>0</v>
      </c>
      <c r="C7" s="55">
        <f>COUNTIF($J10:$J988,C5)</f>
        <v>0</v>
      </c>
      <c r="D7" s="55">
        <f>COUNTIF($J10:$J988,D5)</f>
        <v>0</v>
      </c>
      <c r="E7" s="143"/>
      <c r="F7" s="61">
        <f>COUNTIF($J10:$J988,F5)</f>
        <v>0</v>
      </c>
      <c r="G7" s="48"/>
      <c r="H7" s="48"/>
      <c r="I7" s="18"/>
      <c r="J7" s="48"/>
      <c r="K7" s="48"/>
      <c r="L7" s="18"/>
      <c r="M7" s="48"/>
      <c r="N7" s="48"/>
      <c r="O7" s="18"/>
      <c r="P7" s="18"/>
      <c r="Q7" s="18"/>
      <c r="R7" s="19"/>
    </row>
    <row r="8" spans="1:19" s="17" customFormat="1" ht="15" customHeight="1" thickBot="1">
      <c r="A8" s="58" t="s">
        <v>45</v>
      </c>
      <c r="B8" s="59">
        <f>COUNTIF($M10:$M988,B5)</f>
        <v>0</v>
      </c>
      <c r="C8" s="59">
        <f>COUNTIF($M10:$M988,C5)</f>
        <v>0</v>
      </c>
      <c r="D8" s="59">
        <f>COUNTIF($M10:$M988,D5)</f>
        <v>0</v>
      </c>
      <c r="E8" s="144"/>
      <c r="F8" s="60">
        <f>COUNTIF($G10:$G988,F5)</f>
        <v>0</v>
      </c>
      <c r="G8" s="48"/>
      <c r="H8" s="48"/>
      <c r="I8" s="18"/>
      <c r="J8" s="48"/>
      <c r="K8" s="48"/>
      <c r="L8" s="18"/>
      <c r="M8" s="48"/>
      <c r="N8" s="48"/>
      <c r="O8" s="18"/>
      <c r="P8" s="18"/>
      <c r="Q8" s="18"/>
      <c r="R8" s="19"/>
    </row>
    <row r="9" spans="1:19" s="17" customFormat="1" ht="15" customHeight="1">
      <c r="A9" s="18"/>
      <c r="B9" s="18"/>
      <c r="C9" s="18"/>
      <c r="D9" s="18"/>
      <c r="E9" s="18"/>
      <c r="F9" s="18"/>
      <c r="G9" s="20"/>
      <c r="H9" s="18"/>
      <c r="I9" s="18"/>
      <c r="J9" s="20"/>
      <c r="K9" s="18"/>
      <c r="L9" s="18"/>
      <c r="M9" s="20"/>
      <c r="N9" s="18"/>
      <c r="O9" s="18"/>
      <c r="P9" s="18"/>
      <c r="Q9" s="18"/>
      <c r="R9" s="19"/>
    </row>
    <row r="10" spans="1:19" s="17" customFormat="1" ht="25.5" customHeight="1">
      <c r="A10" s="89" t="s">
        <v>46</v>
      </c>
      <c r="B10" s="89" t="s">
        <v>47</v>
      </c>
      <c r="C10" s="116" t="s">
        <v>48</v>
      </c>
      <c r="D10" s="89" t="s">
        <v>49</v>
      </c>
      <c r="E10" s="89"/>
      <c r="F10" s="89" t="s">
        <v>50</v>
      </c>
      <c r="G10" s="89" t="s">
        <v>43</v>
      </c>
      <c r="H10" s="89" t="s">
        <v>51</v>
      </c>
      <c r="I10" s="89" t="s">
        <v>52</v>
      </c>
      <c r="J10" s="89" t="s">
        <v>44</v>
      </c>
      <c r="K10" s="89" t="s">
        <v>51</v>
      </c>
      <c r="L10" s="89" t="s">
        <v>52</v>
      </c>
      <c r="M10" s="89" t="s">
        <v>45</v>
      </c>
      <c r="N10" s="89" t="s">
        <v>51</v>
      </c>
      <c r="O10" s="89" t="s">
        <v>52</v>
      </c>
      <c r="P10" s="89" t="s">
        <v>53</v>
      </c>
      <c r="R10" s="21"/>
    </row>
    <row r="11" spans="1:19" s="31" customFormat="1" ht="13.8" outlineLevel="1">
      <c r="A11" s="126" t="s">
        <v>142</v>
      </c>
      <c r="B11" s="112"/>
      <c r="C11" s="117"/>
      <c r="D11" s="112"/>
      <c r="E11" s="112"/>
      <c r="F11" s="112"/>
      <c r="G11" s="112"/>
      <c r="H11" s="90"/>
      <c r="I11" s="91"/>
      <c r="J11" s="90"/>
      <c r="K11" s="90"/>
      <c r="L11" s="91"/>
      <c r="M11" s="90"/>
      <c r="N11" s="90"/>
      <c r="O11" s="91"/>
      <c r="P11" s="91"/>
      <c r="R11" s="30"/>
    </row>
    <row r="12" spans="1:19" s="17" customFormat="1" ht="26.4">
      <c r="A12" s="141" t="s">
        <v>112</v>
      </c>
      <c r="B12" s="141" t="s">
        <v>113</v>
      </c>
      <c r="C12" s="141" t="s">
        <v>101</v>
      </c>
      <c r="D12" s="141" t="s">
        <v>114</v>
      </c>
      <c r="E12" s="141" t="s">
        <v>115</v>
      </c>
      <c r="F12" s="141" t="s">
        <v>103</v>
      </c>
      <c r="G12" s="148"/>
      <c r="H12" s="145"/>
      <c r="I12" s="93"/>
      <c r="J12" s="94"/>
      <c r="K12" s="26"/>
      <c r="L12" s="93"/>
      <c r="M12" s="92"/>
      <c r="N12" s="92"/>
      <c r="O12" s="93"/>
      <c r="P12" s="93"/>
      <c r="R12" s="25"/>
    </row>
    <row r="13" spans="1:19" s="17" customFormat="1" ht="26.4">
      <c r="A13" s="141" t="s">
        <v>116</v>
      </c>
      <c r="B13" s="141" t="s">
        <v>113</v>
      </c>
      <c r="C13" s="141" t="s">
        <v>117</v>
      </c>
      <c r="D13" s="141" t="s">
        <v>103</v>
      </c>
      <c r="E13" s="141" t="s">
        <v>118</v>
      </c>
      <c r="F13" s="141" t="s">
        <v>103</v>
      </c>
      <c r="G13" s="148"/>
      <c r="H13" s="146"/>
      <c r="I13" s="106"/>
      <c r="J13" s="105"/>
      <c r="K13" s="107"/>
      <c r="L13" s="106"/>
      <c r="M13" s="104"/>
      <c r="N13" s="104"/>
      <c r="O13" s="106"/>
      <c r="P13" s="106"/>
      <c r="R13" s="25"/>
    </row>
    <row r="14" spans="1:19" ht="26.4" outlineLevel="1">
      <c r="A14" s="141" t="s">
        <v>119</v>
      </c>
      <c r="B14" s="141" t="s">
        <v>120</v>
      </c>
      <c r="C14" s="141" t="s">
        <v>101</v>
      </c>
      <c r="D14" s="141" t="s">
        <v>114</v>
      </c>
      <c r="E14" s="141" t="s">
        <v>121</v>
      </c>
      <c r="F14" s="141" t="s">
        <v>122</v>
      </c>
      <c r="G14" s="115"/>
      <c r="H14" s="147"/>
      <c r="I14" s="109"/>
      <c r="J14" s="94"/>
      <c r="K14" s="110"/>
      <c r="L14" s="109"/>
      <c r="M14" s="108"/>
      <c r="N14" s="108"/>
      <c r="O14" s="109"/>
      <c r="P14" s="109"/>
      <c r="R14" s="30"/>
    </row>
    <row r="15" spans="1:19" ht="15.6">
      <c r="A15" s="113"/>
      <c r="B15" s="113"/>
      <c r="C15" s="118"/>
      <c r="D15" s="113"/>
      <c r="E15" s="113"/>
      <c r="F15" s="113"/>
      <c r="G15" s="121"/>
      <c r="H15" s="120"/>
      <c r="I15" s="122"/>
      <c r="J15" s="121"/>
      <c r="K15" s="120"/>
      <c r="L15" s="122"/>
      <c r="M15" s="120"/>
      <c r="N15" s="120"/>
      <c r="O15" s="122"/>
      <c r="P15" s="122"/>
    </row>
    <row r="16" spans="1:19" ht="15.6">
      <c r="A16" s="113"/>
      <c r="B16" s="113"/>
      <c r="C16" s="118"/>
      <c r="D16" s="113"/>
      <c r="E16" s="113"/>
      <c r="F16" s="113"/>
      <c r="G16" s="123"/>
      <c r="H16" s="120"/>
      <c r="I16" s="122"/>
      <c r="J16" s="123"/>
      <c r="K16" s="124"/>
      <c r="L16" s="122"/>
      <c r="M16" s="120"/>
      <c r="N16" s="120"/>
      <c r="O16" s="122"/>
      <c r="P16" s="122"/>
    </row>
    <row r="17" spans="1:16" ht="15.6">
      <c r="A17" s="113"/>
      <c r="B17" s="113"/>
      <c r="C17" s="118"/>
      <c r="D17" s="113"/>
      <c r="E17" s="113"/>
      <c r="F17" s="113"/>
      <c r="G17" s="123"/>
      <c r="H17" s="120"/>
      <c r="I17" s="122"/>
      <c r="J17" s="123"/>
      <c r="K17" s="124"/>
      <c r="L17" s="122"/>
      <c r="M17" s="120"/>
      <c r="N17" s="120"/>
      <c r="O17" s="122"/>
      <c r="P17" s="122"/>
    </row>
    <row r="18" spans="1:16" ht="15.6">
      <c r="A18" s="113"/>
      <c r="B18" s="113"/>
      <c r="C18" s="119"/>
      <c r="D18" s="113"/>
      <c r="E18" s="113"/>
      <c r="F18" s="113"/>
      <c r="G18" s="123"/>
      <c r="H18" s="120"/>
      <c r="I18" s="122"/>
      <c r="J18" s="123"/>
      <c r="K18" s="124"/>
      <c r="L18" s="122"/>
      <c r="M18" s="120"/>
      <c r="N18" s="120"/>
      <c r="O18" s="122"/>
      <c r="P18" s="122"/>
    </row>
    <row r="19" spans="1:16" ht="15.6">
      <c r="A19" s="113"/>
      <c r="B19" s="113"/>
      <c r="C19" s="118"/>
      <c r="D19" s="113"/>
      <c r="E19" s="113"/>
      <c r="F19" s="113"/>
      <c r="G19" s="123"/>
      <c r="H19" s="120"/>
      <c r="I19" s="122"/>
      <c r="J19" s="123"/>
      <c r="K19" s="124"/>
      <c r="L19" s="122"/>
      <c r="M19" s="120"/>
      <c r="N19" s="120"/>
      <c r="O19" s="122"/>
      <c r="P19" s="122"/>
    </row>
    <row r="20" spans="1:16" ht="15.6">
      <c r="A20" s="113"/>
      <c r="B20" s="113"/>
      <c r="C20" s="119"/>
      <c r="D20" s="113"/>
      <c r="E20" s="113"/>
      <c r="F20" s="113"/>
      <c r="G20" s="125"/>
      <c r="H20" s="120"/>
      <c r="I20" s="122"/>
      <c r="J20" s="125"/>
      <c r="K20" s="120"/>
      <c r="L20" s="122"/>
      <c r="M20" s="120"/>
      <c r="N20" s="120"/>
      <c r="O20" s="122"/>
      <c r="P20" s="122"/>
    </row>
    <row r="21" spans="1:16" ht="15.6">
      <c r="A21" s="113"/>
      <c r="B21" s="113"/>
      <c r="C21" s="119"/>
      <c r="D21" s="113"/>
      <c r="E21" s="113"/>
      <c r="F21" s="113"/>
      <c r="G21" s="123"/>
      <c r="H21" s="120"/>
      <c r="I21" s="122"/>
      <c r="J21" s="123"/>
      <c r="K21" s="124"/>
      <c r="L21" s="122"/>
      <c r="M21" s="120"/>
      <c r="N21" s="120"/>
      <c r="O21" s="122"/>
      <c r="P21" s="122"/>
    </row>
    <row r="30" spans="1:16" ht="13.8">
      <c r="A30" s="88"/>
      <c r="B30" s="88"/>
      <c r="C30" s="88"/>
      <c r="D30" s="88"/>
      <c r="E30" s="88"/>
      <c r="F30" s="88"/>
      <c r="G30" s="88"/>
      <c r="H30" s="88"/>
      <c r="I30" s="88"/>
      <c r="J30" s="88"/>
      <c r="K30" s="88"/>
      <c r="L30" s="88"/>
      <c r="M30" s="88"/>
      <c r="N30" s="88"/>
      <c r="O30" s="88"/>
      <c r="P30" s="88"/>
    </row>
    <row r="31" spans="1:16" ht="13.8">
      <c r="A31" s="88"/>
      <c r="B31" s="88"/>
      <c r="C31" s="88"/>
      <c r="D31" s="88"/>
      <c r="E31" s="88"/>
      <c r="F31" s="88"/>
      <c r="G31" s="88"/>
      <c r="H31" s="88"/>
      <c r="I31" s="88"/>
      <c r="J31" s="88"/>
      <c r="K31" s="88"/>
      <c r="L31" s="88"/>
      <c r="M31" s="88"/>
      <c r="N31" s="88"/>
      <c r="O31" s="88"/>
      <c r="P31" s="88"/>
    </row>
    <row r="32" spans="1:16" ht="13.8">
      <c r="A32" s="88"/>
      <c r="B32" s="88"/>
      <c r="C32" s="88"/>
      <c r="D32" s="88"/>
      <c r="E32" s="88"/>
      <c r="F32" s="88"/>
      <c r="G32" s="88"/>
      <c r="H32" s="88"/>
      <c r="I32" s="88"/>
      <c r="J32" s="88"/>
      <c r="K32" s="88"/>
      <c r="L32" s="88"/>
      <c r="M32" s="88"/>
      <c r="N32" s="88"/>
      <c r="O32" s="88"/>
      <c r="P32" s="88"/>
    </row>
    <row r="33" spans="1:16" ht="13.8">
      <c r="A33" s="88"/>
      <c r="B33" s="88"/>
      <c r="C33" s="88"/>
      <c r="D33" s="88"/>
      <c r="E33" s="88"/>
      <c r="F33" s="88"/>
      <c r="G33" s="88"/>
      <c r="H33" s="88"/>
      <c r="I33" s="88"/>
      <c r="J33" s="88"/>
      <c r="K33" s="88"/>
      <c r="L33" s="88"/>
      <c r="M33" s="88"/>
      <c r="N33" s="88"/>
      <c r="O33" s="88"/>
      <c r="P33" s="88"/>
    </row>
    <row r="34" spans="1:16" ht="13.8">
      <c r="A34" s="88"/>
      <c r="B34" s="88"/>
      <c r="C34" s="88"/>
      <c r="D34" s="88"/>
      <c r="E34" s="88"/>
      <c r="F34" s="88"/>
      <c r="G34" s="88"/>
      <c r="H34" s="88"/>
      <c r="I34" s="88"/>
      <c r="J34" s="88"/>
      <c r="K34" s="88"/>
      <c r="L34" s="88"/>
      <c r="M34" s="88"/>
      <c r="N34" s="88"/>
      <c r="O34" s="88"/>
      <c r="P34" s="88"/>
    </row>
    <row r="35" spans="1:16" ht="13.8">
      <c r="A35" s="88"/>
      <c r="B35" s="88"/>
      <c r="C35" s="88"/>
      <c r="D35" s="88"/>
      <c r="E35" s="88"/>
      <c r="F35" s="88"/>
      <c r="G35" s="88"/>
      <c r="H35" s="88"/>
      <c r="I35" s="88"/>
      <c r="J35" s="88"/>
      <c r="K35" s="88"/>
      <c r="L35" s="88"/>
      <c r="M35" s="88"/>
      <c r="N35" s="88"/>
      <c r="O35" s="88"/>
      <c r="P35" s="88"/>
    </row>
    <row r="36" spans="1:16" ht="13.8">
      <c r="A36" s="88"/>
      <c r="B36" s="88"/>
      <c r="C36" s="88"/>
      <c r="D36" s="88"/>
      <c r="E36" s="88"/>
      <c r="F36" s="88"/>
      <c r="G36" s="88"/>
      <c r="H36" s="88"/>
      <c r="I36" s="88"/>
      <c r="J36" s="88"/>
      <c r="K36" s="88"/>
      <c r="L36" s="88"/>
      <c r="M36" s="88"/>
      <c r="N36" s="88"/>
      <c r="O36" s="88"/>
      <c r="P36" s="88"/>
    </row>
    <row r="37" spans="1:16" ht="13.8">
      <c r="A37" s="88"/>
      <c r="B37" s="88"/>
      <c r="C37" s="88"/>
      <c r="D37" s="88"/>
      <c r="E37" s="88"/>
      <c r="F37" s="88"/>
      <c r="G37" s="88"/>
      <c r="H37" s="88"/>
      <c r="I37" s="88"/>
      <c r="J37" s="88"/>
      <c r="K37" s="88"/>
      <c r="L37" s="88"/>
      <c r="M37" s="88"/>
      <c r="N37" s="88"/>
      <c r="O37" s="88"/>
      <c r="P37" s="88"/>
    </row>
    <row r="38" spans="1:16" ht="13.8">
      <c r="A38" s="88"/>
      <c r="B38" s="88"/>
      <c r="C38" s="88"/>
      <c r="D38" s="88"/>
      <c r="E38" s="88"/>
      <c r="F38" s="88"/>
      <c r="G38" s="88"/>
      <c r="H38" s="88"/>
      <c r="I38" s="88"/>
      <c r="J38" s="88"/>
      <c r="K38" s="88"/>
      <c r="L38" s="88"/>
      <c r="M38" s="88"/>
      <c r="N38" s="88"/>
      <c r="O38" s="88"/>
      <c r="P38" s="88"/>
    </row>
    <row r="39" spans="1:16" ht="13.8">
      <c r="A39" s="88"/>
      <c r="B39" s="88"/>
      <c r="C39" s="88"/>
      <c r="D39" s="88"/>
      <c r="E39" s="88"/>
      <c r="F39" s="88"/>
      <c r="G39" s="88"/>
      <c r="H39" s="88"/>
      <c r="I39" s="88"/>
      <c r="J39" s="88"/>
      <c r="K39" s="88"/>
      <c r="L39" s="88"/>
      <c r="M39" s="88"/>
      <c r="N39" s="88"/>
      <c r="O39" s="88"/>
      <c r="P39" s="88"/>
    </row>
    <row r="40" spans="1:16" ht="13.8">
      <c r="A40" s="88"/>
      <c r="B40" s="88"/>
      <c r="C40" s="88"/>
      <c r="D40" s="88"/>
      <c r="E40" s="88"/>
      <c r="F40" s="88"/>
      <c r="G40" s="88"/>
      <c r="H40" s="88"/>
      <c r="I40" s="88"/>
      <c r="J40" s="88"/>
      <c r="K40" s="88"/>
      <c r="L40" s="88"/>
      <c r="M40" s="88"/>
      <c r="N40" s="88"/>
      <c r="O40" s="88"/>
      <c r="P40" s="88"/>
    </row>
    <row r="41" spans="1:16" ht="13.8">
      <c r="A41" s="88"/>
      <c r="B41" s="88"/>
      <c r="C41" s="88"/>
      <c r="D41" s="88"/>
      <c r="E41" s="88"/>
      <c r="F41" s="88"/>
      <c r="G41" s="88"/>
      <c r="H41" s="88"/>
      <c r="I41" s="88"/>
      <c r="J41" s="88"/>
      <c r="K41" s="88"/>
      <c r="L41" s="88"/>
      <c r="M41" s="88"/>
      <c r="N41" s="88"/>
      <c r="O41" s="88"/>
      <c r="P41" s="88"/>
    </row>
    <row r="42" spans="1:16" ht="13.8">
      <c r="A42" s="88"/>
      <c r="B42" s="88"/>
      <c r="C42" s="88"/>
      <c r="D42" s="88"/>
      <c r="E42" s="88"/>
      <c r="F42" s="88"/>
      <c r="G42" s="88"/>
      <c r="H42" s="88"/>
      <c r="I42" s="88"/>
      <c r="J42" s="88"/>
      <c r="K42" s="88"/>
      <c r="L42" s="88"/>
      <c r="M42" s="88"/>
      <c r="N42" s="88"/>
      <c r="O42" s="88"/>
      <c r="P42" s="88"/>
    </row>
    <row r="43" spans="1:16" ht="13.8">
      <c r="A43" s="88"/>
      <c r="B43" s="88"/>
      <c r="C43" s="88"/>
      <c r="D43" s="88"/>
      <c r="E43" s="88"/>
      <c r="F43" s="88"/>
      <c r="G43" s="88"/>
      <c r="H43" s="88"/>
      <c r="I43" s="88"/>
      <c r="J43" s="88"/>
      <c r="K43" s="88"/>
      <c r="L43" s="88"/>
      <c r="M43" s="88"/>
      <c r="N43" s="88"/>
      <c r="O43" s="88"/>
      <c r="P43" s="88"/>
    </row>
    <row r="44" spans="1:16" ht="13.8">
      <c r="A44" s="88"/>
      <c r="B44" s="88"/>
      <c r="C44" s="88"/>
      <c r="D44" s="88"/>
      <c r="E44" s="88"/>
      <c r="F44" s="88"/>
      <c r="G44" s="88"/>
      <c r="H44" s="88"/>
      <c r="I44" s="88"/>
      <c r="J44" s="88"/>
      <c r="K44" s="88"/>
      <c r="L44" s="88"/>
      <c r="M44" s="88"/>
      <c r="N44" s="88"/>
      <c r="O44" s="88"/>
      <c r="P44" s="88"/>
    </row>
    <row r="45" spans="1:16" ht="13.8">
      <c r="A45" s="88"/>
      <c r="B45" s="88"/>
      <c r="C45" s="88"/>
      <c r="D45" s="88"/>
      <c r="E45" s="88"/>
      <c r="F45" s="88"/>
      <c r="G45" s="88"/>
      <c r="H45" s="88"/>
      <c r="I45" s="88"/>
      <c r="J45" s="88"/>
      <c r="K45" s="88"/>
      <c r="L45" s="88"/>
      <c r="M45" s="88"/>
      <c r="N45" s="88"/>
      <c r="O45" s="88"/>
      <c r="P45" s="88"/>
    </row>
    <row r="46" spans="1:16" ht="13.8">
      <c r="A46" s="88"/>
      <c r="B46" s="88"/>
      <c r="C46" s="88"/>
      <c r="D46" s="88"/>
      <c r="E46" s="88"/>
      <c r="F46" s="88"/>
      <c r="G46" s="88"/>
      <c r="H46" s="88"/>
      <c r="I46" s="88"/>
      <c r="J46" s="88"/>
      <c r="K46" s="88"/>
      <c r="L46" s="88"/>
      <c r="M46" s="88"/>
      <c r="N46" s="88"/>
      <c r="O46" s="88"/>
      <c r="P46" s="88"/>
    </row>
    <row r="47" spans="1:16" ht="13.8">
      <c r="A47" s="88"/>
      <c r="B47" s="88"/>
      <c r="C47" s="88"/>
      <c r="D47" s="88"/>
      <c r="E47" s="88"/>
      <c r="F47" s="88"/>
      <c r="G47" s="88"/>
      <c r="H47" s="88"/>
      <c r="I47" s="88"/>
      <c r="J47" s="88"/>
      <c r="K47" s="88"/>
      <c r="L47" s="88"/>
      <c r="M47" s="88"/>
      <c r="N47" s="88"/>
      <c r="O47" s="88"/>
      <c r="P47" s="88"/>
    </row>
    <row r="48" spans="1:16" ht="13.8">
      <c r="A48" s="88"/>
      <c r="B48" s="88"/>
      <c r="C48" s="88"/>
      <c r="D48" s="88"/>
      <c r="E48" s="88"/>
      <c r="F48" s="88"/>
      <c r="G48" s="88"/>
      <c r="H48" s="88"/>
      <c r="I48" s="88"/>
      <c r="J48" s="88"/>
      <c r="K48" s="88"/>
      <c r="L48" s="88"/>
      <c r="M48" s="88"/>
      <c r="N48" s="88"/>
      <c r="O48" s="88"/>
      <c r="P48" s="88"/>
    </row>
    <row r="49" spans="1:16" ht="13.8">
      <c r="A49" s="88"/>
      <c r="B49" s="88"/>
      <c r="C49" s="88"/>
      <c r="D49" s="88"/>
      <c r="E49" s="88"/>
      <c r="F49" s="88"/>
      <c r="G49" s="88"/>
      <c r="H49" s="88"/>
      <c r="I49" s="88"/>
      <c r="J49" s="88"/>
      <c r="K49" s="88"/>
      <c r="L49" s="88"/>
      <c r="M49" s="88"/>
      <c r="N49" s="88"/>
      <c r="O49" s="88"/>
      <c r="P49" s="88"/>
    </row>
    <row r="50" spans="1:16" ht="13.8">
      <c r="A50" s="88"/>
      <c r="B50" s="88"/>
      <c r="C50" s="88"/>
      <c r="D50" s="88"/>
      <c r="E50" s="88"/>
      <c r="F50" s="88"/>
      <c r="G50" s="88"/>
      <c r="H50" s="88"/>
      <c r="I50" s="88"/>
      <c r="J50" s="88"/>
      <c r="K50" s="88"/>
      <c r="L50" s="88"/>
      <c r="M50" s="88"/>
      <c r="N50" s="88"/>
      <c r="O50" s="88"/>
      <c r="P50" s="88"/>
    </row>
    <row r="51" spans="1:16" ht="13.8">
      <c r="A51" s="88"/>
      <c r="B51" s="88"/>
      <c r="C51" s="88"/>
      <c r="D51" s="88"/>
      <c r="E51" s="88"/>
      <c r="F51" s="88"/>
      <c r="G51" s="88"/>
      <c r="H51" s="88"/>
      <c r="I51" s="88"/>
      <c r="J51" s="88"/>
      <c r="K51" s="88"/>
      <c r="L51" s="88"/>
      <c r="M51" s="88"/>
      <c r="N51" s="88"/>
      <c r="O51" s="88"/>
      <c r="P51" s="88"/>
    </row>
    <row r="52" spans="1:16" ht="13.8">
      <c r="A52" s="88"/>
      <c r="B52" s="88"/>
      <c r="C52" s="88"/>
      <c r="D52" s="88"/>
      <c r="E52" s="88"/>
      <c r="F52" s="88"/>
      <c r="G52" s="88"/>
      <c r="H52" s="88"/>
      <c r="I52" s="88"/>
      <c r="J52" s="88"/>
      <c r="K52" s="88"/>
      <c r="L52" s="88"/>
      <c r="M52" s="88"/>
      <c r="N52" s="88"/>
      <c r="O52" s="88"/>
      <c r="P52" s="88"/>
    </row>
    <row r="53" spans="1:16" ht="13.8">
      <c r="A53" s="88"/>
      <c r="B53" s="88"/>
      <c r="C53" s="88"/>
      <c r="D53" s="88"/>
      <c r="E53" s="88"/>
      <c r="F53" s="88"/>
      <c r="G53" s="88"/>
      <c r="H53" s="88"/>
      <c r="I53" s="88"/>
      <c r="J53" s="88"/>
      <c r="K53" s="88"/>
      <c r="L53" s="88"/>
      <c r="M53" s="88"/>
      <c r="N53" s="88"/>
      <c r="O53" s="88"/>
      <c r="P53" s="88"/>
    </row>
    <row r="54" spans="1:16" ht="13.8">
      <c r="A54" s="88"/>
      <c r="B54" s="88"/>
      <c r="C54" s="88"/>
      <c r="D54" s="88"/>
      <c r="E54" s="88"/>
      <c r="F54" s="88"/>
      <c r="G54" s="88"/>
      <c r="H54" s="88"/>
      <c r="I54" s="88"/>
      <c r="J54" s="88"/>
      <c r="K54" s="88"/>
      <c r="L54" s="88"/>
      <c r="M54" s="88"/>
      <c r="N54" s="88"/>
      <c r="O54" s="88"/>
      <c r="P54" s="88"/>
    </row>
    <row r="55" spans="1:16" ht="13.8">
      <c r="A55" s="88"/>
      <c r="B55" s="88"/>
      <c r="C55" s="88"/>
      <c r="D55" s="88"/>
      <c r="E55" s="88"/>
      <c r="F55" s="88"/>
      <c r="G55" s="88"/>
      <c r="H55" s="88"/>
      <c r="I55" s="88"/>
      <c r="J55" s="88"/>
      <c r="K55" s="88"/>
      <c r="L55" s="88"/>
      <c r="M55" s="88"/>
      <c r="N55" s="88"/>
      <c r="O55" s="88"/>
      <c r="P55" s="88"/>
    </row>
    <row r="56" spans="1:16" ht="13.8">
      <c r="A56" s="88"/>
      <c r="B56" s="88"/>
      <c r="C56" s="88"/>
      <c r="D56" s="88"/>
      <c r="E56" s="88"/>
      <c r="F56" s="88"/>
      <c r="G56" s="88"/>
      <c r="H56" s="88"/>
      <c r="I56" s="88"/>
      <c r="J56" s="88"/>
      <c r="K56" s="88"/>
      <c r="L56" s="88"/>
      <c r="M56" s="88"/>
      <c r="N56" s="88"/>
      <c r="O56" s="88"/>
      <c r="P56" s="88"/>
    </row>
    <row r="57" spans="1:16" ht="13.8">
      <c r="A57" s="88"/>
      <c r="B57" s="88"/>
      <c r="C57" s="88"/>
      <c r="D57" s="88"/>
      <c r="E57" s="88"/>
      <c r="F57" s="88"/>
      <c r="G57" s="88"/>
      <c r="H57" s="88"/>
      <c r="I57" s="88"/>
      <c r="J57" s="88"/>
      <c r="K57" s="88"/>
      <c r="L57" s="88"/>
      <c r="M57" s="88"/>
      <c r="N57" s="88"/>
      <c r="O57" s="88"/>
      <c r="P57" s="88"/>
    </row>
    <row r="58" spans="1:16" ht="13.8">
      <c r="A58" s="88"/>
      <c r="B58" s="88"/>
      <c r="C58" s="88"/>
      <c r="D58" s="88"/>
      <c r="E58" s="88"/>
      <c r="F58" s="88"/>
      <c r="G58" s="88"/>
      <c r="H58" s="88"/>
      <c r="I58" s="88"/>
      <c r="J58" s="88"/>
      <c r="K58" s="88"/>
      <c r="L58" s="88"/>
      <c r="M58" s="88"/>
      <c r="N58" s="88"/>
      <c r="O58" s="88"/>
      <c r="P58" s="88"/>
    </row>
    <row r="59" spans="1:16" ht="13.8">
      <c r="A59" s="88"/>
      <c r="B59" s="88"/>
      <c r="C59" s="88"/>
      <c r="D59" s="88"/>
      <c r="E59" s="88"/>
      <c r="F59" s="88"/>
      <c r="G59" s="88"/>
      <c r="H59" s="88"/>
      <c r="I59" s="88"/>
      <c r="J59" s="88"/>
      <c r="K59" s="88"/>
      <c r="L59" s="88"/>
      <c r="M59" s="88"/>
      <c r="N59" s="88"/>
      <c r="O59" s="88"/>
      <c r="P59" s="88"/>
    </row>
    <row r="60" spans="1:16" ht="13.8">
      <c r="A60" s="88"/>
      <c r="B60" s="88"/>
      <c r="C60" s="88"/>
      <c r="D60" s="88"/>
      <c r="E60" s="88"/>
      <c r="F60" s="88"/>
      <c r="G60" s="88"/>
      <c r="H60" s="88"/>
      <c r="I60" s="88"/>
      <c r="J60" s="88"/>
      <c r="K60" s="88"/>
      <c r="L60" s="88"/>
      <c r="M60" s="88"/>
      <c r="N60" s="88"/>
      <c r="O60" s="88"/>
      <c r="P60" s="88"/>
    </row>
    <row r="61" spans="1:16" ht="13.8">
      <c r="A61" s="88"/>
      <c r="B61" s="88"/>
      <c r="C61" s="88"/>
      <c r="D61" s="88"/>
      <c r="E61" s="88"/>
      <c r="F61" s="88"/>
      <c r="G61" s="88"/>
      <c r="H61" s="88"/>
      <c r="I61" s="88"/>
      <c r="J61" s="88"/>
      <c r="K61" s="88"/>
      <c r="L61" s="88"/>
      <c r="M61" s="88"/>
      <c r="N61" s="88"/>
      <c r="O61" s="88"/>
      <c r="P61" s="88"/>
    </row>
  </sheetData>
  <mergeCells count="3">
    <mergeCell ref="B2:F2"/>
    <mergeCell ref="B3:F3"/>
    <mergeCell ref="B4:F4"/>
  </mergeCells>
  <dataValidations count="2">
    <dataValidation type="list" allowBlank="1" showErrorMessage="1" sqref="H2:H3 H9 N2:N3 K30:K137 K2:K3 K9 N9 N30:N137 H30:H137" xr:uid="{558ECDC7-2B87-42C9-8D39-02AC92B56E7D}">
      <formula1>$S$2:$S$5</formula1>
      <formula2>0</formula2>
    </dataValidation>
    <dataValidation allowBlank="1" showErrorMessage="1" sqref="G10 J10 M10" xr:uid="{800ABD8E-5C89-448F-9265-DDD1DB91C9E7}"/>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C5542-58C3-4D23-AE8F-78809F174132}">
  <sheetPr>
    <outlinePr summaryBelow="0" summaryRight="0"/>
  </sheetPr>
  <dimension ref="A1:S61"/>
  <sheetViews>
    <sheetView zoomScale="85" zoomScaleNormal="85" workbookViewId="0">
      <pane ySplit="10" topLeftCell="A11" activePane="bottomLeft" state="frozen"/>
      <selection pane="bottomLeft" activeCell="B14" sqref="B14"/>
    </sheetView>
  </sheetViews>
  <sheetFormatPr defaultColWidth="9" defaultRowHeight="13.2" outlineLevelRow="1" outlineLevelCol="1"/>
  <cols>
    <col min="1" max="1" width="17" style="1" customWidth="1"/>
    <col min="2" max="2" width="34.44140625" style="1" customWidth="1"/>
    <col min="3" max="3" width="34.109375" style="1" customWidth="1"/>
    <col min="4" max="5" width="34.5546875" style="1" customWidth="1"/>
    <col min="6" max="6" width="28.44140625" style="1" customWidth="1"/>
    <col min="7" max="7" width="9.44140625" style="1" customWidth="1"/>
    <col min="8" max="8" width="10.5546875" style="1" customWidth="1" outlineLevel="1"/>
    <col min="9" max="9" width="14.33203125" style="1" bestFit="1" customWidth="1" outlineLevel="1"/>
    <col min="10" max="10" width="9.44140625" style="1" customWidth="1"/>
    <col min="11" max="11" width="10.5546875" style="1" customWidth="1" outlineLevel="1"/>
    <col min="12" max="12" width="14.109375" style="1" bestFit="1" customWidth="1" outlineLevel="1"/>
    <col min="13" max="13" width="9.44140625" style="1" customWidth="1"/>
    <col min="14" max="14" width="10.5546875" style="1" customWidth="1" outlineLevel="1"/>
    <col min="15" max="15" width="14.109375" style="1" bestFit="1" customWidth="1" outlineLevel="1"/>
    <col min="16" max="16" width="28.5546875" style="1" customWidth="1"/>
    <col min="17" max="17" width="10.109375" style="1" customWidth="1"/>
    <col min="18" max="18" width="8.109375" style="15" customWidth="1"/>
    <col min="19" max="19" width="7.5546875" style="1" hidden="1" customWidth="1"/>
    <col min="20" max="16384" width="9" style="1"/>
  </cols>
  <sheetData>
    <row r="1" spans="1:19" ht="13.8" thickBot="1"/>
    <row r="2" spans="1:19" s="17" customFormat="1" ht="15" customHeight="1">
      <c r="A2" s="62" t="s">
        <v>81</v>
      </c>
      <c r="B2" s="171" t="s">
        <v>143</v>
      </c>
      <c r="C2" s="171"/>
      <c r="D2" s="171"/>
      <c r="E2" s="175"/>
      <c r="F2" s="172"/>
      <c r="G2" s="52"/>
      <c r="H2" s="46"/>
      <c r="I2" s="9"/>
      <c r="J2" s="52"/>
      <c r="K2" s="46"/>
      <c r="L2" s="9"/>
      <c r="M2" s="52"/>
      <c r="N2" s="46"/>
      <c r="O2" s="9"/>
      <c r="P2" s="9"/>
      <c r="Q2" s="9"/>
      <c r="R2" s="16"/>
      <c r="S2" s="17" t="s">
        <v>30</v>
      </c>
    </row>
    <row r="3" spans="1:19" s="17" customFormat="1" ht="26.4">
      <c r="A3" s="63" t="s">
        <v>40</v>
      </c>
      <c r="B3" s="173" t="s">
        <v>84</v>
      </c>
      <c r="C3" s="173"/>
      <c r="D3" s="173"/>
      <c r="E3" s="176"/>
      <c r="F3" s="174"/>
      <c r="G3" s="52"/>
      <c r="H3" s="46"/>
      <c r="I3" s="9"/>
      <c r="J3" s="52"/>
      <c r="K3" s="46"/>
      <c r="L3" s="9"/>
      <c r="M3" s="52"/>
      <c r="N3" s="46"/>
      <c r="O3" s="9"/>
      <c r="P3" s="9"/>
      <c r="Q3" s="9"/>
      <c r="R3" s="16"/>
      <c r="S3" s="17" t="s">
        <v>31</v>
      </c>
    </row>
    <row r="4" spans="1:19" s="17" customFormat="1" ht="18" customHeight="1">
      <c r="A4" s="63" t="s">
        <v>41</v>
      </c>
      <c r="B4" s="173">
        <f>COUNTA(A12:A990)</f>
        <v>1</v>
      </c>
      <c r="C4" s="173"/>
      <c r="D4" s="173"/>
      <c r="E4" s="176"/>
      <c r="F4" s="174"/>
      <c r="G4" s="52"/>
      <c r="H4" s="46"/>
      <c r="I4" s="9"/>
      <c r="J4" s="52"/>
      <c r="K4" s="46"/>
      <c r="L4" s="9"/>
      <c r="M4" s="52"/>
      <c r="N4" s="46"/>
      <c r="O4" s="9"/>
      <c r="P4" s="9"/>
      <c r="Q4" s="9"/>
      <c r="R4" s="16"/>
      <c r="S4" s="17" t="s">
        <v>32</v>
      </c>
    </row>
    <row r="5" spans="1:19" s="17" customFormat="1" ht="19.5" customHeight="1">
      <c r="A5" s="56" t="s">
        <v>42</v>
      </c>
      <c r="B5" s="54" t="s">
        <v>30</v>
      </c>
      <c r="C5" s="54" t="s">
        <v>31</v>
      </c>
      <c r="D5" s="54" t="s">
        <v>32</v>
      </c>
      <c r="E5" s="142"/>
      <c r="F5" s="57" t="s">
        <v>33</v>
      </c>
      <c r="G5" s="47"/>
      <c r="H5" s="47"/>
      <c r="I5" s="18"/>
      <c r="J5" s="47"/>
      <c r="K5" s="47"/>
      <c r="L5" s="18"/>
      <c r="M5" s="47"/>
      <c r="N5" s="47"/>
      <c r="O5" s="18"/>
      <c r="P5" s="18"/>
      <c r="Q5" s="18"/>
      <c r="R5" s="19"/>
      <c r="S5" s="17" t="s">
        <v>33</v>
      </c>
    </row>
    <row r="6" spans="1:19" s="17" customFormat="1" ht="15" customHeight="1">
      <c r="A6" s="56" t="s">
        <v>43</v>
      </c>
      <c r="B6" s="55">
        <f>COUNTIF($G$10:$G$988,"Passed")</f>
        <v>0</v>
      </c>
      <c r="C6" s="55">
        <f>COUNTIF($G$10:$G$988,"Failed")</f>
        <v>0</v>
      </c>
      <c r="D6" s="55">
        <f>COUNTIF($G$10:$G$988,"pending")</f>
        <v>0</v>
      </c>
      <c r="E6" s="143"/>
      <c r="F6" s="61">
        <f>COUNTIF($G10:$G988,F5)</f>
        <v>0</v>
      </c>
      <c r="G6" s="48"/>
      <c r="H6" s="48"/>
      <c r="I6" s="18"/>
      <c r="J6" s="48"/>
      <c r="K6" s="48"/>
      <c r="L6" s="18"/>
      <c r="M6" s="48"/>
      <c r="N6" s="48"/>
      <c r="O6" s="18"/>
      <c r="P6" s="18"/>
      <c r="Q6" s="18"/>
      <c r="R6" s="19"/>
    </row>
    <row r="7" spans="1:19" s="17" customFormat="1" ht="15" customHeight="1">
      <c r="A7" s="56" t="s">
        <v>44</v>
      </c>
      <c r="B7" s="55">
        <f>COUNTIF($J10:$J988,B5)</f>
        <v>0</v>
      </c>
      <c r="C7" s="55">
        <f>COUNTIF($J10:$J988,C5)</f>
        <v>0</v>
      </c>
      <c r="D7" s="55">
        <f>COUNTIF($J10:$J988,D5)</f>
        <v>0</v>
      </c>
      <c r="E7" s="143"/>
      <c r="F7" s="61">
        <f>COUNTIF($J10:$J988,F5)</f>
        <v>0</v>
      </c>
      <c r="G7" s="48"/>
      <c r="H7" s="48"/>
      <c r="I7" s="18"/>
      <c r="J7" s="48"/>
      <c r="K7" s="48"/>
      <c r="L7" s="18"/>
      <c r="M7" s="48"/>
      <c r="N7" s="48"/>
      <c r="O7" s="18"/>
      <c r="P7" s="18"/>
      <c r="Q7" s="18"/>
      <c r="R7" s="19"/>
    </row>
    <row r="8" spans="1:19" s="17" customFormat="1" ht="15" customHeight="1" thickBot="1">
      <c r="A8" s="58" t="s">
        <v>45</v>
      </c>
      <c r="B8" s="59">
        <f>COUNTIF($M10:$M988,B5)</f>
        <v>0</v>
      </c>
      <c r="C8" s="59">
        <f>COUNTIF($M10:$M988,C5)</f>
        <v>0</v>
      </c>
      <c r="D8" s="59">
        <f>COUNTIF($M10:$M988,D5)</f>
        <v>0</v>
      </c>
      <c r="E8" s="144"/>
      <c r="F8" s="60">
        <f>COUNTIF($G10:$G988,F5)</f>
        <v>0</v>
      </c>
      <c r="G8" s="48"/>
      <c r="H8" s="48"/>
      <c r="I8" s="18"/>
      <c r="J8" s="48"/>
      <c r="K8" s="48"/>
      <c r="L8" s="18"/>
      <c r="M8" s="48"/>
      <c r="N8" s="48"/>
      <c r="O8" s="18"/>
      <c r="P8" s="18"/>
      <c r="Q8" s="18"/>
      <c r="R8" s="19"/>
    </row>
    <row r="9" spans="1:19" s="17" customFormat="1" ht="15" customHeight="1">
      <c r="A9" s="18"/>
      <c r="B9" s="18"/>
      <c r="C9" s="18"/>
      <c r="D9" s="18"/>
      <c r="E9" s="18"/>
      <c r="F9" s="18"/>
      <c r="G9" s="20"/>
      <c r="H9" s="18"/>
      <c r="I9" s="18"/>
      <c r="J9" s="20"/>
      <c r="K9" s="18"/>
      <c r="L9" s="18"/>
      <c r="M9" s="20"/>
      <c r="N9" s="18"/>
      <c r="O9" s="18"/>
      <c r="P9" s="18"/>
      <c r="Q9" s="18"/>
      <c r="R9" s="19"/>
    </row>
    <row r="10" spans="1:19" s="17" customFormat="1" ht="25.5" customHeight="1">
      <c r="A10" s="89" t="s">
        <v>46</v>
      </c>
      <c r="B10" s="89" t="s">
        <v>47</v>
      </c>
      <c r="C10" s="116" t="s">
        <v>48</v>
      </c>
      <c r="D10" s="89" t="s">
        <v>49</v>
      </c>
      <c r="E10" s="89"/>
      <c r="F10" s="89" t="s">
        <v>50</v>
      </c>
      <c r="G10" s="89" t="s">
        <v>43</v>
      </c>
      <c r="H10" s="89" t="s">
        <v>51</v>
      </c>
      <c r="I10" s="89" t="s">
        <v>52</v>
      </c>
      <c r="J10" s="89" t="s">
        <v>44</v>
      </c>
      <c r="K10" s="89" t="s">
        <v>51</v>
      </c>
      <c r="L10" s="89" t="s">
        <v>52</v>
      </c>
      <c r="M10" s="89" t="s">
        <v>45</v>
      </c>
      <c r="N10" s="89" t="s">
        <v>51</v>
      </c>
      <c r="O10" s="89" t="s">
        <v>52</v>
      </c>
      <c r="P10" s="89" t="s">
        <v>53</v>
      </c>
      <c r="R10" s="21"/>
    </row>
    <row r="11" spans="1:19" s="31" customFormat="1" ht="13.8" outlineLevel="1">
      <c r="A11" s="126" t="s">
        <v>143</v>
      </c>
      <c r="B11" s="112"/>
      <c r="C11" s="117"/>
      <c r="D11" s="112"/>
      <c r="E11" s="112"/>
      <c r="F11" s="112"/>
      <c r="G11" s="112"/>
      <c r="H11" s="90"/>
      <c r="I11" s="91"/>
      <c r="J11" s="90"/>
      <c r="K11" s="90"/>
      <c r="L11" s="91"/>
      <c r="M11" s="90"/>
      <c r="N11" s="90"/>
      <c r="O11" s="91"/>
      <c r="P11" s="91"/>
      <c r="R11" s="30"/>
    </row>
    <row r="12" spans="1:19" s="17" customFormat="1" ht="26.4">
      <c r="A12" s="141" t="s">
        <v>123</v>
      </c>
      <c r="B12" s="141" t="s">
        <v>113</v>
      </c>
      <c r="C12" s="141" t="s">
        <v>103</v>
      </c>
      <c r="D12" s="141"/>
      <c r="E12" s="141"/>
      <c r="F12" s="141"/>
      <c r="G12" s="148"/>
      <c r="H12" s="145"/>
      <c r="I12" s="93"/>
      <c r="J12" s="94"/>
      <c r="K12" s="26"/>
      <c r="L12" s="93"/>
      <c r="M12" s="92"/>
      <c r="N12" s="92"/>
      <c r="O12" s="93"/>
      <c r="P12" s="93"/>
      <c r="R12" s="25"/>
    </row>
    <row r="13" spans="1:19" s="17" customFormat="1" ht="13.8">
      <c r="A13" s="148"/>
      <c r="B13" s="148"/>
      <c r="C13" s="148"/>
      <c r="D13" s="141"/>
      <c r="E13" s="141"/>
      <c r="F13" s="141"/>
      <c r="G13" s="148"/>
      <c r="H13" s="146"/>
      <c r="I13" s="106"/>
      <c r="J13" s="105"/>
      <c r="K13" s="107"/>
      <c r="L13" s="106"/>
      <c r="M13" s="104"/>
      <c r="N13" s="104"/>
      <c r="O13" s="106"/>
      <c r="P13" s="106"/>
      <c r="R13" s="25"/>
    </row>
    <row r="14" spans="1:19" ht="13.8" outlineLevel="1">
      <c r="A14" s="141"/>
      <c r="B14" s="141"/>
      <c r="C14" s="141"/>
      <c r="D14" s="141"/>
      <c r="E14" s="141"/>
      <c r="F14" s="141"/>
      <c r="G14" s="115"/>
      <c r="H14" s="147"/>
      <c r="I14" s="109"/>
      <c r="J14" s="94"/>
      <c r="K14" s="110"/>
      <c r="L14" s="109"/>
      <c r="M14" s="108"/>
      <c r="N14" s="108"/>
      <c r="O14" s="109"/>
      <c r="P14" s="109"/>
      <c r="R14" s="30"/>
    </row>
    <row r="15" spans="1:19" ht="15.6">
      <c r="A15" s="113"/>
      <c r="B15" s="113"/>
      <c r="C15" s="118"/>
      <c r="D15" s="113"/>
      <c r="E15" s="113"/>
      <c r="F15" s="113"/>
      <c r="G15" s="121"/>
      <c r="H15" s="120"/>
      <c r="I15" s="122"/>
      <c r="J15" s="121"/>
      <c r="K15" s="120"/>
      <c r="L15" s="122"/>
      <c r="M15" s="120"/>
      <c r="N15" s="120"/>
      <c r="O15" s="122"/>
      <c r="P15" s="122"/>
    </row>
    <row r="16" spans="1:19" ht="15.6">
      <c r="A16" s="113"/>
      <c r="B16" s="113"/>
      <c r="C16" s="118"/>
      <c r="D16" s="113"/>
      <c r="E16" s="113"/>
      <c r="F16" s="113"/>
      <c r="G16" s="123"/>
      <c r="H16" s="120"/>
      <c r="I16" s="122"/>
      <c r="J16" s="123"/>
      <c r="K16" s="124"/>
      <c r="L16" s="122"/>
      <c r="M16" s="120"/>
      <c r="N16" s="120"/>
      <c r="O16" s="122"/>
      <c r="P16" s="122"/>
    </row>
    <row r="17" spans="1:16" ht="15.6">
      <c r="A17" s="113"/>
      <c r="B17" s="113"/>
      <c r="C17" s="118"/>
      <c r="D17" s="113"/>
      <c r="E17" s="113"/>
      <c r="F17" s="113"/>
      <c r="G17" s="123"/>
      <c r="H17" s="120"/>
      <c r="I17" s="122"/>
      <c r="J17" s="123"/>
      <c r="K17" s="124"/>
      <c r="L17" s="122"/>
      <c r="M17" s="120"/>
      <c r="N17" s="120"/>
      <c r="O17" s="122"/>
      <c r="P17" s="122"/>
    </row>
    <row r="18" spans="1:16" ht="15.6">
      <c r="A18" s="113"/>
      <c r="B18" s="113"/>
      <c r="C18" s="119"/>
      <c r="D18" s="113"/>
      <c r="E18" s="113"/>
      <c r="F18" s="113"/>
      <c r="G18" s="123"/>
      <c r="H18" s="120"/>
      <c r="I18" s="122"/>
      <c r="J18" s="123"/>
      <c r="K18" s="124"/>
      <c r="L18" s="122"/>
      <c r="M18" s="120"/>
      <c r="N18" s="120"/>
      <c r="O18" s="122"/>
      <c r="P18" s="122"/>
    </row>
    <row r="19" spans="1:16" ht="15.6">
      <c r="A19" s="113"/>
      <c r="B19" s="113"/>
      <c r="C19" s="118"/>
      <c r="D19" s="113"/>
      <c r="E19" s="113"/>
      <c r="F19" s="113"/>
      <c r="G19" s="123"/>
      <c r="H19" s="120"/>
      <c r="I19" s="122"/>
      <c r="J19" s="123"/>
      <c r="K19" s="124"/>
      <c r="L19" s="122"/>
      <c r="M19" s="120"/>
      <c r="N19" s="120"/>
      <c r="O19" s="122"/>
      <c r="P19" s="122"/>
    </row>
    <row r="20" spans="1:16" ht="15.6">
      <c r="A20" s="113"/>
      <c r="B20" s="113"/>
      <c r="C20" s="119"/>
      <c r="D20" s="113"/>
      <c r="E20" s="113"/>
      <c r="F20" s="113"/>
      <c r="G20" s="125"/>
      <c r="H20" s="120"/>
      <c r="I20" s="122"/>
      <c r="J20" s="125"/>
      <c r="K20" s="120"/>
      <c r="L20" s="122"/>
      <c r="M20" s="120"/>
      <c r="N20" s="120"/>
      <c r="O20" s="122"/>
      <c r="P20" s="122"/>
    </row>
    <row r="21" spans="1:16" ht="15.6">
      <c r="A21" s="113"/>
      <c r="B21" s="113"/>
      <c r="C21" s="119"/>
      <c r="D21" s="113"/>
      <c r="E21" s="113"/>
      <c r="F21" s="113"/>
      <c r="G21" s="123"/>
      <c r="H21" s="120"/>
      <c r="I21" s="122"/>
      <c r="J21" s="123"/>
      <c r="K21" s="124"/>
      <c r="L21" s="122"/>
      <c r="M21" s="120"/>
      <c r="N21" s="120"/>
      <c r="O21" s="122"/>
      <c r="P21" s="122"/>
    </row>
    <row r="30" spans="1:16" ht="13.8">
      <c r="A30" s="88"/>
      <c r="B30" s="88"/>
      <c r="C30" s="88"/>
      <c r="D30" s="88"/>
      <c r="E30" s="88"/>
      <c r="F30" s="88"/>
      <c r="G30" s="88"/>
      <c r="H30" s="88"/>
      <c r="I30" s="88"/>
      <c r="J30" s="88"/>
      <c r="K30" s="88"/>
      <c r="L30" s="88"/>
      <c r="M30" s="88"/>
      <c r="N30" s="88"/>
      <c r="O30" s="88"/>
      <c r="P30" s="88"/>
    </row>
    <row r="31" spans="1:16" ht="13.8">
      <c r="A31" s="88"/>
      <c r="B31" s="88"/>
      <c r="C31" s="88"/>
      <c r="D31" s="88"/>
      <c r="E31" s="88"/>
      <c r="F31" s="88"/>
      <c r="G31" s="88"/>
      <c r="H31" s="88"/>
      <c r="I31" s="88"/>
      <c r="J31" s="88"/>
      <c r="K31" s="88"/>
      <c r="L31" s="88"/>
      <c r="M31" s="88"/>
      <c r="N31" s="88"/>
      <c r="O31" s="88"/>
      <c r="P31" s="88"/>
    </row>
    <row r="32" spans="1:16" ht="13.8">
      <c r="A32" s="88"/>
      <c r="B32" s="88"/>
      <c r="C32" s="88"/>
      <c r="D32" s="88"/>
      <c r="E32" s="88"/>
      <c r="F32" s="88"/>
      <c r="G32" s="88"/>
      <c r="H32" s="88"/>
      <c r="I32" s="88"/>
      <c r="J32" s="88"/>
      <c r="K32" s="88"/>
      <c r="L32" s="88"/>
      <c r="M32" s="88"/>
      <c r="N32" s="88"/>
      <c r="O32" s="88"/>
      <c r="P32" s="88"/>
    </row>
    <row r="33" spans="1:16" ht="13.8">
      <c r="A33" s="88"/>
      <c r="B33" s="88"/>
      <c r="C33" s="88"/>
      <c r="D33" s="88"/>
      <c r="E33" s="88"/>
      <c r="F33" s="88"/>
      <c r="G33" s="88"/>
      <c r="H33" s="88"/>
      <c r="I33" s="88"/>
      <c r="J33" s="88"/>
      <c r="K33" s="88"/>
      <c r="L33" s="88"/>
      <c r="M33" s="88"/>
      <c r="N33" s="88"/>
      <c r="O33" s="88"/>
      <c r="P33" s="88"/>
    </row>
    <row r="34" spans="1:16" ht="13.8">
      <c r="A34" s="88"/>
      <c r="B34" s="88"/>
      <c r="C34" s="88"/>
      <c r="D34" s="88"/>
      <c r="E34" s="88"/>
      <c r="F34" s="88"/>
      <c r="G34" s="88"/>
      <c r="H34" s="88"/>
      <c r="I34" s="88"/>
      <c r="J34" s="88"/>
      <c r="K34" s="88"/>
      <c r="L34" s="88"/>
      <c r="M34" s="88"/>
      <c r="N34" s="88"/>
      <c r="O34" s="88"/>
      <c r="P34" s="88"/>
    </row>
    <row r="35" spans="1:16" ht="13.8">
      <c r="A35" s="88"/>
      <c r="B35" s="88"/>
      <c r="C35" s="88"/>
      <c r="D35" s="88"/>
      <c r="E35" s="88"/>
      <c r="F35" s="88"/>
      <c r="G35" s="88"/>
      <c r="H35" s="88"/>
      <c r="I35" s="88"/>
      <c r="J35" s="88"/>
      <c r="K35" s="88"/>
      <c r="L35" s="88"/>
      <c r="M35" s="88"/>
      <c r="N35" s="88"/>
      <c r="O35" s="88"/>
      <c r="P35" s="88"/>
    </row>
    <row r="36" spans="1:16" ht="13.8">
      <c r="A36" s="88"/>
      <c r="B36" s="88"/>
      <c r="C36" s="88"/>
      <c r="D36" s="88"/>
      <c r="E36" s="88"/>
      <c r="F36" s="88"/>
      <c r="G36" s="88"/>
      <c r="H36" s="88"/>
      <c r="I36" s="88"/>
      <c r="J36" s="88"/>
      <c r="K36" s="88"/>
      <c r="L36" s="88"/>
      <c r="M36" s="88"/>
      <c r="N36" s="88"/>
      <c r="O36" s="88"/>
      <c r="P36" s="88"/>
    </row>
    <row r="37" spans="1:16" ht="13.8">
      <c r="A37" s="88"/>
      <c r="B37" s="88"/>
      <c r="C37" s="88"/>
      <c r="D37" s="88"/>
      <c r="E37" s="88"/>
      <c r="F37" s="88"/>
      <c r="G37" s="88"/>
      <c r="H37" s="88"/>
      <c r="I37" s="88"/>
      <c r="J37" s="88"/>
      <c r="K37" s="88"/>
      <c r="L37" s="88"/>
      <c r="M37" s="88"/>
      <c r="N37" s="88"/>
      <c r="O37" s="88"/>
      <c r="P37" s="88"/>
    </row>
    <row r="38" spans="1:16" ht="13.8">
      <c r="A38" s="88"/>
      <c r="B38" s="88"/>
      <c r="C38" s="88"/>
      <c r="D38" s="88"/>
      <c r="E38" s="88"/>
      <c r="F38" s="88"/>
      <c r="G38" s="88"/>
      <c r="H38" s="88"/>
      <c r="I38" s="88"/>
      <c r="J38" s="88"/>
      <c r="K38" s="88"/>
      <c r="L38" s="88"/>
      <c r="M38" s="88"/>
      <c r="N38" s="88"/>
      <c r="O38" s="88"/>
      <c r="P38" s="88"/>
    </row>
    <row r="39" spans="1:16" ht="13.8">
      <c r="A39" s="88"/>
      <c r="B39" s="88"/>
      <c r="C39" s="88"/>
      <c r="D39" s="88"/>
      <c r="E39" s="88"/>
      <c r="F39" s="88"/>
      <c r="G39" s="88"/>
      <c r="H39" s="88"/>
      <c r="I39" s="88"/>
      <c r="J39" s="88"/>
      <c r="K39" s="88"/>
      <c r="L39" s="88"/>
      <c r="M39" s="88"/>
      <c r="N39" s="88"/>
      <c r="O39" s="88"/>
      <c r="P39" s="88"/>
    </row>
    <row r="40" spans="1:16" ht="13.8">
      <c r="A40" s="88"/>
      <c r="B40" s="88"/>
      <c r="C40" s="88"/>
      <c r="D40" s="88"/>
      <c r="E40" s="88"/>
      <c r="F40" s="88"/>
      <c r="G40" s="88"/>
      <c r="H40" s="88"/>
      <c r="I40" s="88"/>
      <c r="J40" s="88"/>
      <c r="K40" s="88"/>
      <c r="L40" s="88"/>
      <c r="M40" s="88"/>
      <c r="N40" s="88"/>
      <c r="O40" s="88"/>
      <c r="P40" s="88"/>
    </row>
    <row r="41" spans="1:16" ht="13.8">
      <c r="A41" s="88"/>
      <c r="B41" s="88"/>
      <c r="C41" s="88"/>
      <c r="D41" s="88"/>
      <c r="E41" s="88"/>
      <c r="F41" s="88"/>
      <c r="G41" s="88"/>
      <c r="H41" s="88"/>
      <c r="I41" s="88"/>
      <c r="J41" s="88"/>
      <c r="K41" s="88"/>
      <c r="L41" s="88"/>
      <c r="M41" s="88"/>
      <c r="N41" s="88"/>
      <c r="O41" s="88"/>
      <c r="P41" s="88"/>
    </row>
    <row r="42" spans="1:16" ht="13.8">
      <c r="A42" s="88"/>
      <c r="B42" s="88"/>
      <c r="C42" s="88"/>
      <c r="D42" s="88"/>
      <c r="E42" s="88"/>
      <c r="F42" s="88"/>
      <c r="G42" s="88"/>
      <c r="H42" s="88"/>
      <c r="I42" s="88"/>
      <c r="J42" s="88"/>
      <c r="K42" s="88"/>
      <c r="L42" s="88"/>
      <c r="M42" s="88"/>
      <c r="N42" s="88"/>
      <c r="O42" s="88"/>
      <c r="P42" s="88"/>
    </row>
    <row r="43" spans="1:16" ht="13.8">
      <c r="A43" s="88"/>
      <c r="B43" s="88"/>
      <c r="C43" s="88"/>
      <c r="D43" s="88"/>
      <c r="E43" s="88"/>
      <c r="F43" s="88"/>
      <c r="G43" s="88"/>
      <c r="H43" s="88"/>
      <c r="I43" s="88"/>
      <c r="J43" s="88"/>
      <c r="K43" s="88"/>
      <c r="L43" s="88"/>
      <c r="M43" s="88"/>
      <c r="N43" s="88"/>
      <c r="O43" s="88"/>
      <c r="P43" s="88"/>
    </row>
    <row r="44" spans="1:16" ht="13.8">
      <c r="A44" s="88"/>
      <c r="B44" s="88"/>
      <c r="C44" s="88"/>
      <c r="D44" s="88"/>
      <c r="E44" s="88"/>
      <c r="F44" s="88"/>
      <c r="G44" s="88"/>
      <c r="H44" s="88"/>
      <c r="I44" s="88"/>
      <c r="J44" s="88"/>
      <c r="K44" s="88"/>
      <c r="L44" s="88"/>
      <c r="M44" s="88"/>
      <c r="N44" s="88"/>
      <c r="O44" s="88"/>
      <c r="P44" s="88"/>
    </row>
    <row r="45" spans="1:16" ht="13.8">
      <c r="A45" s="88"/>
      <c r="B45" s="88"/>
      <c r="C45" s="88"/>
      <c r="D45" s="88"/>
      <c r="E45" s="88"/>
      <c r="F45" s="88"/>
      <c r="G45" s="88"/>
      <c r="H45" s="88"/>
      <c r="I45" s="88"/>
      <c r="J45" s="88"/>
      <c r="K45" s="88"/>
      <c r="L45" s="88"/>
      <c r="M45" s="88"/>
      <c r="N45" s="88"/>
      <c r="O45" s="88"/>
      <c r="P45" s="88"/>
    </row>
    <row r="46" spans="1:16" ht="13.8">
      <c r="A46" s="88"/>
      <c r="B46" s="88"/>
      <c r="C46" s="88"/>
      <c r="D46" s="88"/>
      <c r="E46" s="88"/>
      <c r="F46" s="88"/>
      <c r="G46" s="88"/>
      <c r="H46" s="88"/>
      <c r="I46" s="88"/>
      <c r="J46" s="88"/>
      <c r="K46" s="88"/>
      <c r="L46" s="88"/>
      <c r="M46" s="88"/>
      <c r="N46" s="88"/>
      <c r="O46" s="88"/>
      <c r="P46" s="88"/>
    </row>
    <row r="47" spans="1:16" ht="13.8">
      <c r="A47" s="88"/>
      <c r="B47" s="88"/>
      <c r="C47" s="88"/>
      <c r="D47" s="88"/>
      <c r="E47" s="88"/>
      <c r="F47" s="88"/>
      <c r="G47" s="88"/>
      <c r="H47" s="88"/>
      <c r="I47" s="88"/>
      <c r="J47" s="88"/>
      <c r="K47" s="88"/>
      <c r="L47" s="88"/>
      <c r="M47" s="88"/>
      <c r="N47" s="88"/>
      <c r="O47" s="88"/>
      <c r="P47" s="88"/>
    </row>
    <row r="48" spans="1:16" ht="13.8">
      <c r="A48" s="88"/>
      <c r="B48" s="88"/>
      <c r="C48" s="88"/>
      <c r="D48" s="88"/>
      <c r="E48" s="88"/>
      <c r="F48" s="88"/>
      <c r="G48" s="88"/>
      <c r="H48" s="88"/>
      <c r="I48" s="88"/>
      <c r="J48" s="88"/>
      <c r="K48" s="88"/>
      <c r="L48" s="88"/>
      <c r="M48" s="88"/>
      <c r="N48" s="88"/>
      <c r="O48" s="88"/>
      <c r="P48" s="88"/>
    </row>
    <row r="49" spans="1:16" ht="13.8">
      <c r="A49" s="88"/>
      <c r="B49" s="88"/>
      <c r="C49" s="88"/>
      <c r="D49" s="88"/>
      <c r="E49" s="88"/>
      <c r="F49" s="88"/>
      <c r="G49" s="88"/>
      <c r="H49" s="88"/>
      <c r="I49" s="88"/>
      <c r="J49" s="88"/>
      <c r="K49" s="88"/>
      <c r="L49" s="88"/>
      <c r="M49" s="88"/>
      <c r="N49" s="88"/>
      <c r="O49" s="88"/>
      <c r="P49" s="88"/>
    </row>
    <row r="50" spans="1:16" ht="13.8">
      <c r="A50" s="88"/>
      <c r="B50" s="88"/>
      <c r="C50" s="88"/>
      <c r="D50" s="88"/>
      <c r="E50" s="88"/>
      <c r="F50" s="88"/>
      <c r="G50" s="88"/>
      <c r="H50" s="88"/>
      <c r="I50" s="88"/>
      <c r="J50" s="88"/>
      <c r="K50" s="88"/>
      <c r="L50" s="88"/>
      <c r="M50" s="88"/>
      <c r="N50" s="88"/>
      <c r="O50" s="88"/>
      <c r="P50" s="88"/>
    </row>
    <row r="51" spans="1:16" ht="13.8">
      <c r="A51" s="88"/>
      <c r="B51" s="88"/>
      <c r="C51" s="88"/>
      <c r="D51" s="88"/>
      <c r="E51" s="88"/>
      <c r="F51" s="88"/>
      <c r="G51" s="88"/>
      <c r="H51" s="88"/>
      <c r="I51" s="88"/>
      <c r="J51" s="88"/>
      <c r="K51" s="88"/>
      <c r="L51" s="88"/>
      <c r="M51" s="88"/>
      <c r="N51" s="88"/>
      <c r="O51" s="88"/>
      <c r="P51" s="88"/>
    </row>
    <row r="52" spans="1:16" ht="13.8">
      <c r="A52" s="88"/>
      <c r="B52" s="88"/>
      <c r="C52" s="88"/>
      <c r="D52" s="88"/>
      <c r="E52" s="88"/>
      <c r="F52" s="88"/>
      <c r="G52" s="88"/>
      <c r="H52" s="88"/>
      <c r="I52" s="88"/>
      <c r="J52" s="88"/>
      <c r="K52" s="88"/>
      <c r="L52" s="88"/>
      <c r="M52" s="88"/>
      <c r="N52" s="88"/>
      <c r="O52" s="88"/>
      <c r="P52" s="88"/>
    </row>
    <row r="53" spans="1:16" ht="13.8">
      <c r="A53" s="88"/>
      <c r="B53" s="88"/>
      <c r="C53" s="88"/>
      <c r="D53" s="88"/>
      <c r="E53" s="88"/>
      <c r="F53" s="88"/>
      <c r="G53" s="88"/>
      <c r="H53" s="88"/>
      <c r="I53" s="88"/>
      <c r="J53" s="88"/>
      <c r="K53" s="88"/>
      <c r="L53" s="88"/>
      <c r="M53" s="88"/>
      <c r="N53" s="88"/>
      <c r="O53" s="88"/>
      <c r="P53" s="88"/>
    </row>
    <row r="54" spans="1:16" ht="13.8">
      <c r="A54" s="88"/>
      <c r="B54" s="88"/>
      <c r="C54" s="88"/>
      <c r="D54" s="88"/>
      <c r="E54" s="88"/>
      <c r="F54" s="88"/>
      <c r="G54" s="88"/>
      <c r="H54" s="88"/>
      <c r="I54" s="88"/>
      <c r="J54" s="88"/>
      <c r="K54" s="88"/>
      <c r="L54" s="88"/>
      <c r="M54" s="88"/>
      <c r="N54" s="88"/>
      <c r="O54" s="88"/>
      <c r="P54" s="88"/>
    </row>
    <row r="55" spans="1:16" ht="13.8">
      <c r="A55" s="88"/>
      <c r="B55" s="88"/>
      <c r="C55" s="88"/>
      <c r="D55" s="88"/>
      <c r="E55" s="88"/>
      <c r="F55" s="88"/>
      <c r="G55" s="88"/>
      <c r="H55" s="88"/>
      <c r="I55" s="88"/>
      <c r="J55" s="88"/>
      <c r="K55" s="88"/>
      <c r="L55" s="88"/>
      <c r="M55" s="88"/>
      <c r="N55" s="88"/>
      <c r="O55" s="88"/>
      <c r="P55" s="88"/>
    </row>
    <row r="56" spans="1:16" ht="13.8">
      <c r="A56" s="88"/>
      <c r="B56" s="88"/>
      <c r="C56" s="88"/>
      <c r="D56" s="88"/>
      <c r="E56" s="88"/>
      <c r="F56" s="88"/>
      <c r="G56" s="88"/>
      <c r="H56" s="88"/>
      <c r="I56" s="88"/>
      <c r="J56" s="88"/>
      <c r="K56" s="88"/>
      <c r="L56" s="88"/>
      <c r="M56" s="88"/>
      <c r="N56" s="88"/>
      <c r="O56" s="88"/>
      <c r="P56" s="88"/>
    </row>
    <row r="57" spans="1:16" ht="13.8">
      <c r="A57" s="88"/>
      <c r="B57" s="88"/>
      <c r="C57" s="88"/>
      <c r="D57" s="88"/>
      <c r="E57" s="88"/>
      <c r="F57" s="88"/>
      <c r="G57" s="88"/>
      <c r="H57" s="88"/>
      <c r="I57" s="88"/>
      <c r="J57" s="88"/>
      <c r="K57" s="88"/>
      <c r="L57" s="88"/>
      <c r="M57" s="88"/>
      <c r="N57" s="88"/>
      <c r="O57" s="88"/>
      <c r="P57" s="88"/>
    </row>
    <row r="58" spans="1:16" ht="13.8">
      <c r="A58" s="88"/>
      <c r="B58" s="88"/>
      <c r="C58" s="88"/>
      <c r="D58" s="88"/>
      <c r="E58" s="88"/>
      <c r="F58" s="88"/>
      <c r="G58" s="88"/>
      <c r="H58" s="88"/>
      <c r="I58" s="88"/>
      <c r="J58" s="88"/>
      <c r="K58" s="88"/>
      <c r="L58" s="88"/>
      <c r="M58" s="88"/>
      <c r="N58" s="88"/>
      <c r="O58" s="88"/>
      <c r="P58" s="88"/>
    </row>
    <row r="59" spans="1:16" ht="13.8">
      <c r="A59" s="88"/>
      <c r="B59" s="88"/>
      <c r="C59" s="88"/>
      <c r="D59" s="88"/>
      <c r="E59" s="88"/>
      <c r="F59" s="88"/>
      <c r="G59" s="88"/>
      <c r="H59" s="88"/>
      <c r="I59" s="88"/>
      <c r="J59" s="88"/>
      <c r="K59" s="88"/>
      <c r="L59" s="88"/>
      <c r="M59" s="88"/>
      <c r="N59" s="88"/>
      <c r="O59" s="88"/>
      <c r="P59" s="88"/>
    </row>
    <row r="60" spans="1:16" ht="13.8">
      <c r="A60" s="88"/>
      <c r="B60" s="88"/>
      <c r="C60" s="88"/>
      <c r="D60" s="88"/>
      <c r="E60" s="88"/>
      <c r="F60" s="88"/>
      <c r="G60" s="88"/>
      <c r="H60" s="88"/>
      <c r="I60" s="88"/>
      <c r="J60" s="88"/>
      <c r="K60" s="88"/>
      <c r="L60" s="88"/>
      <c r="M60" s="88"/>
      <c r="N60" s="88"/>
      <c r="O60" s="88"/>
      <c r="P60" s="88"/>
    </row>
    <row r="61" spans="1:16" ht="13.8">
      <c r="A61" s="88"/>
      <c r="B61" s="88"/>
      <c r="C61" s="88"/>
      <c r="D61" s="88"/>
      <c r="E61" s="88"/>
      <c r="F61" s="88"/>
      <c r="G61" s="88"/>
      <c r="H61" s="88"/>
      <c r="I61" s="88"/>
      <c r="J61" s="88"/>
      <c r="K61" s="88"/>
      <c r="L61" s="88"/>
      <c r="M61" s="88"/>
      <c r="N61" s="88"/>
      <c r="O61" s="88"/>
      <c r="P61" s="88"/>
    </row>
  </sheetData>
  <mergeCells count="3">
    <mergeCell ref="B2:F2"/>
    <mergeCell ref="B3:F3"/>
    <mergeCell ref="B4:F4"/>
  </mergeCells>
  <dataValidations count="2">
    <dataValidation allowBlank="1" showErrorMessage="1" sqref="G10 J10 M10" xr:uid="{813318CF-4FD0-4B58-B454-1AD0F52D8398}"/>
    <dataValidation type="list" allowBlank="1" showErrorMessage="1" sqref="H2:H3 H9 N2:N3 K30:K137 K2:K3 K9 N9 N30:N137 H30:H137" xr:uid="{DA115C34-6E3F-463E-8798-ACA1A3110A91}">
      <formula1>$S$2:$S$5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836E1-65C1-482E-A191-8FD13A10F07A}">
  <sheetPr>
    <outlinePr summaryBelow="0" summaryRight="0"/>
  </sheetPr>
  <dimension ref="A1:S61"/>
  <sheetViews>
    <sheetView zoomScale="85" zoomScaleNormal="85" workbookViewId="0">
      <pane ySplit="10" topLeftCell="A11" activePane="bottomLeft" state="frozen"/>
      <selection pane="bottomLeft" activeCell="B16" sqref="B16"/>
    </sheetView>
  </sheetViews>
  <sheetFormatPr defaultColWidth="9" defaultRowHeight="13.2" outlineLevelRow="1" outlineLevelCol="1"/>
  <cols>
    <col min="1" max="1" width="17" style="1" customWidth="1"/>
    <col min="2" max="2" width="34.44140625" style="1" customWidth="1"/>
    <col min="3" max="3" width="34.109375" style="1" customWidth="1"/>
    <col min="4" max="5" width="34.5546875" style="1" customWidth="1"/>
    <col min="6" max="6" width="28.44140625" style="1" customWidth="1"/>
    <col min="7" max="7" width="9.44140625" style="1" customWidth="1"/>
    <col min="8" max="8" width="10.5546875" style="1" customWidth="1" outlineLevel="1"/>
    <col min="9" max="9" width="14.33203125" style="1" bestFit="1" customWidth="1" outlineLevel="1"/>
    <col min="10" max="10" width="9.44140625" style="1" customWidth="1"/>
    <col min="11" max="11" width="10.5546875" style="1" customWidth="1" outlineLevel="1"/>
    <col min="12" max="12" width="14.109375" style="1" bestFit="1" customWidth="1" outlineLevel="1"/>
    <col min="13" max="13" width="9.44140625" style="1" customWidth="1"/>
    <col min="14" max="14" width="10.5546875" style="1" customWidth="1" outlineLevel="1"/>
    <col min="15" max="15" width="14.109375" style="1" bestFit="1" customWidth="1" outlineLevel="1"/>
    <col min="16" max="16" width="28.5546875" style="1" customWidth="1"/>
    <col min="17" max="17" width="10.109375" style="1" customWidth="1"/>
    <col min="18" max="18" width="8.109375" style="15" customWidth="1"/>
    <col min="19" max="19" width="7.5546875" style="1" hidden="1" customWidth="1"/>
    <col min="20" max="16384" width="9" style="1"/>
  </cols>
  <sheetData>
    <row r="1" spans="1:19" ht="13.8" thickBot="1"/>
    <row r="2" spans="1:19" s="17" customFormat="1" ht="15" customHeight="1">
      <c r="A2" s="62" t="s">
        <v>81</v>
      </c>
      <c r="B2" s="171" t="s">
        <v>144</v>
      </c>
      <c r="C2" s="171"/>
      <c r="D2" s="171"/>
      <c r="E2" s="175"/>
      <c r="F2" s="172"/>
      <c r="G2" s="52"/>
      <c r="H2" s="46"/>
      <c r="I2" s="9"/>
      <c r="J2" s="52"/>
      <c r="K2" s="46"/>
      <c r="L2" s="9"/>
      <c r="M2" s="52"/>
      <c r="N2" s="46"/>
      <c r="O2" s="9"/>
      <c r="P2" s="9"/>
      <c r="Q2" s="9"/>
      <c r="R2" s="16"/>
      <c r="S2" s="17" t="s">
        <v>30</v>
      </c>
    </row>
    <row r="3" spans="1:19" s="17" customFormat="1" ht="26.4">
      <c r="A3" s="63" t="s">
        <v>40</v>
      </c>
      <c r="B3" s="173" t="s">
        <v>84</v>
      </c>
      <c r="C3" s="173"/>
      <c r="D3" s="173"/>
      <c r="E3" s="176"/>
      <c r="F3" s="174"/>
      <c r="G3" s="52"/>
      <c r="H3" s="46"/>
      <c r="I3" s="9"/>
      <c r="J3" s="52"/>
      <c r="K3" s="46"/>
      <c r="L3" s="9"/>
      <c r="M3" s="52"/>
      <c r="N3" s="46"/>
      <c r="O3" s="9"/>
      <c r="P3" s="9"/>
      <c r="Q3" s="9"/>
      <c r="R3" s="16"/>
      <c r="S3" s="17" t="s">
        <v>31</v>
      </c>
    </row>
    <row r="4" spans="1:19" s="17" customFormat="1" ht="18" customHeight="1">
      <c r="A4" s="63" t="s">
        <v>41</v>
      </c>
      <c r="B4" s="173">
        <f>COUNTA(A12:A990)</f>
        <v>2</v>
      </c>
      <c r="C4" s="173"/>
      <c r="D4" s="173"/>
      <c r="E4" s="176"/>
      <c r="F4" s="174"/>
      <c r="G4" s="52"/>
      <c r="H4" s="46"/>
      <c r="I4" s="9"/>
      <c r="J4" s="52"/>
      <c r="K4" s="46"/>
      <c r="L4" s="9"/>
      <c r="M4" s="52"/>
      <c r="N4" s="46"/>
      <c r="O4" s="9"/>
      <c r="P4" s="9"/>
      <c r="Q4" s="9"/>
      <c r="R4" s="16"/>
      <c r="S4" s="17" t="s">
        <v>32</v>
      </c>
    </row>
    <row r="5" spans="1:19" s="17" customFormat="1" ht="19.5" customHeight="1">
      <c r="A5" s="56" t="s">
        <v>42</v>
      </c>
      <c r="B5" s="54" t="s">
        <v>30</v>
      </c>
      <c r="C5" s="54" t="s">
        <v>31</v>
      </c>
      <c r="D5" s="54" t="s">
        <v>32</v>
      </c>
      <c r="E5" s="142"/>
      <c r="F5" s="57" t="s">
        <v>33</v>
      </c>
      <c r="G5" s="47"/>
      <c r="H5" s="47"/>
      <c r="I5" s="18"/>
      <c r="J5" s="47"/>
      <c r="K5" s="47"/>
      <c r="L5" s="18"/>
      <c r="M5" s="47"/>
      <c r="N5" s="47"/>
      <c r="O5" s="18"/>
      <c r="P5" s="18"/>
      <c r="Q5" s="18"/>
      <c r="R5" s="19"/>
      <c r="S5" s="17" t="s">
        <v>33</v>
      </c>
    </row>
    <row r="6" spans="1:19" s="17" customFormat="1" ht="15" customHeight="1">
      <c r="A6" s="56" t="s">
        <v>43</v>
      </c>
      <c r="B6" s="55">
        <f>COUNTIF($G$10:$G$988,"Passed")</f>
        <v>0</v>
      </c>
      <c r="C6" s="55">
        <f>COUNTIF($G$10:$G$988,"Failed")</f>
        <v>0</v>
      </c>
      <c r="D6" s="55">
        <f>COUNTIF($G$10:$G$988,"pending")</f>
        <v>0</v>
      </c>
      <c r="E6" s="143"/>
      <c r="F6" s="61">
        <f>COUNTIF($G10:$G988,F5)</f>
        <v>0</v>
      </c>
      <c r="G6" s="48"/>
      <c r="H6" s="48"/>
      <c r="I6" s="18"/>
      <c r="J6" s="48"/>
      <c r="K6" s="48"/>
      <c r="L6" s="18"/>
      <c r="M6" s="48"/>
      <c r="N6" s="48"/>
      <c r="O6" s="18"/>
      <c r="P6" s="18"/>
      <c r="Q6" s="18"/>
      <c r="R6" s="19"/>
    </row>
    <row r="7" spans="1:19" s="17" customFormat="1" ht="15" customHeight="1">
      <c r="A7" s="56" t="s">
        <v>44</v>
      </c>
      <c r="B7" s="55">
        <f>COUNTIF($J10:$J988,B5)</f>
        <v>0</v>
      </c>
      <c r="C7" s="55">
        <f>COUNTIF($J10:$J988,C5)</f>
        <v>0</v>
      </c>
      <c r="D7" s="55">
        <f>COUNTIF($J10:$J988,D5)</f>
        <v>0</v>
      </c>
      <c r="E7" s="143"/>
      <c r="F7" s="61">
        <f>COUNTIF($J10:$J988,F5)</f>
        <v>0</v>
      </c>
      <c r="G7" s="48"/>
      <c r="H7" s="48"/>
      <c r="I7" s="18"/>
      <c r="J7" s="48"/>
      <c r="K7" s="48"/>
      <c r="L7" s="18"/>
      <c r="M7" s="48"/>
      <c r="N7" s="48"/>
      <c r="O7" s="18"/>
      <c r="P7" s="18"/>
      <c r="Q7" s="18"/>
      <c r="R7" s="19"/>
    </row>
    <row r="8" spans="1:19" s="17" customFormat="1" ht="15" customHeight="1" thickBot="1">
      <c r="A8" s="58" t="s">
        <v>45</v>
      </c>
      <c r="B8" s="59">
        <f>COUNTIF($M10:$M988,B5)</f>
        <v>0</v>
      </c>
      <c r="C8" s="59">
        <f>COUNTIF($M10:$M988,C5)</f>
        <v>0</v>
      </c>
      <c r="D8" s="59">
        <f>COUNTIF($M10:$M988,D5)</f>
        <v>0</v>
      </c>
      <c r="E8" s="144"/>
      <c r="F8" s="60">
        <f>COUNTIF($G10:$G988,F5)</f>
        <v>0</v>
      </c>
      <c r="G8" s="48"/>
      <c r="H8" s="48"/>
      <c r="I8" s="18"/>
      <c r="J8" s="48"/>
      <c r="K8" s="48"/>
      <c r="L8" s="18"/>
      <c r="M8" s="48"/>
      <c r="N8" s="48"/>
      <c r="O8" s="18"/>
      <c r="P8" s="18"/>
      <c r="Q8" s="18"/>
      <c r="R8" s="19"/>
    </row>
    <row r="9" spans="1:19" s="17" customFormat="1" ht="15" customHeight="1">
      <c r="A9" s="18"/>
      <c r="B9" s="18"/>
      <c r="C9" s="18"/>
      <c r="D9" s="18"/>
      <c r="E9" s="18"/>
      <c r="F9" s="18"/>
      <c r="G9" s="20"/>
      <c r="H9" s="18"/>
      <c r="I9" s="18"/>
      <c r="J9" s="20"/>
      <c r="K9" s="18"/>
      <c r="L9" s="18"/>
      <c r="M9" s="20"/>
      <c r="N9" s="18"/>
      <c r="O9" s="18"/>
      <c r="P9" s="18"/>
      <c r="Q9" s="18"/>
      <c r="R9" s="19"/>
    </row>
    <row r="10" spans="1:19" s="17" customFormat="1" ht="25.5" customHeight="1">
      <c r="A10" s="89" t="s">
        <v>46</v>
      </c>
      <c r="B10" s="89" t="s">
        <v>47</v>
      </c>
      <c r="C10" s="116" t="s">
        <v>48</v>
      </c>
      <c r="D10" s="89" t="s">
        <v>49</v>
      </c>
      <c r="E10" s="89"/>
      <c r="F10" s="89" t="s">
        <v>50</v>
      </c>
      <c r="G10" s="89" t="s">
        <v>43</v>
      </c>
      <c r="H10" s="89" t="s">
        <v>51</v>
      </c>
      <c r="I10" s="89" t="s">
        <v>52</v>
      </c>
      <c r="J10" s="89" t="s">
        <v>44</v>
      </c>
      <c r="K10" s="89" t="s">
        <v>51</v>
      </c>
      <c r="L10" s="89" t="s">
        <v>52</v>
      </c>
      <c r="M10" s="89" t="s">
        <v>45</v>
      </c>
      <c r="N10" s="89" t="s">
        <v>51</v>
      </c>
      <c r="O10" s="89" t="s">
        <v>52</v>
      </c>
      <c r="P10" s="89" t="s">
        <v>53</v>
      </c>
      <c r="R10" s="21"/>
    </row>
    <row r="11" spans="1:19" s="31" customFormat="1" ht="13.8" outlineLevel="1">
      <c r="A11" s="126" t="s">
        <v>144</v>
      </c>
      <c r="B11" s="112"/>
      <c r="C11" s="117"/>
      <c r="D11" s="112"/>
      <c r="E11" s="112"/>
      <c r="F11" s="112"/>
      <c r="G11" s="112"/>
      <c r="H11" s="90"/>
      <c r="I11" s="91"/>
      <c r="J11" s="90"/>
      <c r="K11" s="90"/>
      <c r="L11" s="91"/>
      <c r="M11" s="90"/>
      <c r="N11" s="90"/>
      <c r="O11" s="91"/>
      <c r="P11" s="91"/>
      <c r="R11" s="30"/>
    </row>
    <row r="12" spans="1:19" s="17" customFormat="1" ht="26.4">
      <c r="A12" s="141" t="s">
        <v>124</v>
      </c>
      <c r="B12" s="141" t="s">
        <v>125</v>
      </c>
      <c r="C12" s="141" t="s">
        <v>125</v>
      </c>
      <c r="D12" s="141" t="s">
        <v>103</v>
      </c>
      <c r="E12" s="141"/>
      <c r="F12" s="141"/>
      <c r="G12" s="148"/>
      <c r="H12" s="145"/>
      <c r="I12" s="93"/>
      <c r="J12" s="94"/>
      <c r="K12" s="26"/>
      <c r="L12" s="93"/>
      <c r="M12" s="92"/>
      <c r="N12" s="92"/>
      <c r="O12" s="93"/>
      <c r="P12" s="93"/>
      <c r="R12" s="25"/>
    </row>
    <row r="13" spans="1:19" s="17" customFormat="1" ht="26.4">
      <c r="A13" s="141" t="s">
        <v>126</v>
      </c>
      <c r="B13" s="141" t="s">
        <v>127</v>
      </c>
      <c r="C13" s="141" t="s">
        <v>103</v>
      </c>
      <c r="D13" s="141" t="s">
        <v>122</v>
      </c>
      <c r="E13" s="141"/>
      <c r="F13" s="141"/>
      <c r="G13" s="148"/>
      <c r="H13" s="146"/>
      <c r="I13" s="106"/>
      <c r="J13" s="105"/>
      <c r="K13" s="107"/>
      <c r="L13" s="106"/>
      <c r="M13" s="104"/>
      <c r="N13" s="104"/>
      <c r="O13" s="106"/>
      <c r="P13" s="106"/>
      <c r="R13" s="25"/>
    </row>
    <row r="14" spans="1:19" ht="13.8" outlineLevel="1">
      <c r="A14" s="141"/>
      <c r="B14" s="141"/>
      <c r="C14" s="141"/>
      <c r="D14" s="141"/>
      <c r="E14" s="141"/>
      <c r="F14" s="141"/>
      <c r="G14" s="115"/>
      <c r="H14" s="147"/>
      <c r="I14" s="109"/>
      <c r="J14" s="94"/>
      <c r="K14" s="110"/>
      <c r="L14" s="109"/>
      <c r="M14" s="108"/>
      <c r="N14" s="108"/>
      <c r="O14" s="109"/>
      <c r="P14" s="109"/>
      <c r="R14" s="30"/>
    </row>
    <row r="15" spans="1:19" ht="15.6">
      <c r="A15" s="113"/>
      <c r="B15" s="113"/>
      <c r="C15" s="118"/>
      <c r="D15" s="113"/>
      <c r="E15" s="113"/>
      <c r="F15" s="113"/>
      <c r="G15" s="121"/>
      <c r="H15" s="120"/>
      <c r="I15" s="122"/>
      <c r="J15" s="121"/>
      <c r="K15" s="120"/>
      <c r="L15" s="122"/>
      <c r="M15" s="120"/>
      <c r="N15" s="120"/>
      <c r="O15" s="122"/>
      <c r="P15" s="122"/>
    </row>
    <row r="16" spans="1:19" ht="15.6">
      <c r="A16" s="113"/>
      <c r="B16" s="113"/>
      <c r="C16" s="118"/>
      <c r="D16" s="113"/>
      <c r="E16" s="113"/>
      <c r="F16" s="113"/>
      <c r="G16" s="123"/>
      <c r="H16" s="120"/>
      <c r="I16" s="122"/>
      <c r="J16" s="123"/>
      <c r="K16" s="124"/>
      <c r="L16" s="122"/>
      <c r="M16" s="120"/>
      <c r="N16" s="120"/>
      <c r="O16" s="122"/>
      <c r="P16" s="122"/>
    </row>
    <row r="17" spans="1:16" ht="15.6">
      <c r="A17" s="113"/>
      <c r="B17" s="113"/>
      <c r="C17" s="118"/>
      <c r="D17" s="113"/>
      <c r="E17" s="113"/>
      <c r="F17" s="113"/>
      <c r="G17" s="123"/>
      <c r="H17" s="120"/>
      <c r="I17" s="122"/>
      <c r="J17" s="123"/>
      <c r="K17" s="124"/>
      <c r="L17" s="122"/>
      <c r="M17" s="120"/>
      <c r="N17" s="120"/>
      <c r="O17" s="122"/>
      <c r="P17" s="122"/>
    </row>
    <row r="18" spans="1:16" ht="15.6">
      <c r="A18" s="113"/>
      <c r="B18" s="113"/>
      <c r="C18" s="119"/>
      <c r="D18" s="113"/>
      <c r="E18" s="113"/>
      <c r="F18" s="113"/>
      <c r="G18" s="123"/>
      <c r="H18" s="120"/>
      <c r="I18" s="122"/>
      <c r="J18" s="123"/>
      <c r="K18" s="124"/>
      <c r="L18" s="122"/>
      <c r="M18" s="120"/>
      <c r="N18" s="120"/>
      <c r="O18" s="122"/>
      <c r="P18" s="122"/>
    </row>
    <row r="19" spans="1:16" ht="15.6">
      <c r="A19" s="113"/>
      <c r="B19" s="113"/>
      <c r="C19" s="118"/>
      <c r="D19" s="113"/>
      <c r="E19" s="113"/>
      <c r="F19" s="113"/>
      <c r="G19" s="123"/>
      <c r="H19" s="120"/>
      <c r="I19" s="122"/>
      <c r="J19" s="123"/>
      <c r="K19" s="124"/>
      <c r="L19" s="122"/>
      <c r="M19" s="120"/>
      <c r="N19" s="120"/>
      <c r="O19" s="122"/>
      <c r="P19" s="122"/>
    </row>
    <row r="20" spans="1:16" ht="15.6">
      <c r="A20" s="113"/>
      <c r="B20" s="113"/>
      <c r="C20" s="119"/>
      <c r="D20" s="113"/>
      <c r="E20" s="113"/>
      <c r="F20" s="113"/>
      <c r="G20" s="125"/>
      <c r="H20" s="120"/>
      <c r="I20" s="122"/>
      <c r="J20" s="125"/>
      <c r="K20" s="120"/>
      <c r="L20" s="122"/>
      <c r="M20" s="120"/>
      <c r="N20" s="120"/>
      <c r="O20" s="122"/>
      <c r="P20" s="122"/>
    </row>
    <row r="21" spans="1:16" ht="15.6">
      <c r="A21" s="113"/>
      <c r="B21" s="113"/>
      <c r="C21" s="119"/>
      <c r="D21" s="113"/>
      <c r="E21" s="113"/>
      <c r="F21" s="113"/>
      <c r="G21" s="123"/>
      <c r="H21" s="120"/>
      <c r="I21" s="122"/>
      <c r="J21" s="123"/>
      <c r="K21" s="124"/>
      <c r="L21" s="122"/>
      <c r="M21" s="120"/>
      <c r="N21" s="120"/>
      <c r="O21" s="122"/>
      <c r="P21" s="122"/>
    </row>
    <row r="30" spans="1:16" ht="13.8">
      <c r="A30" s="88"/>
      <c r="B30" s="88"/>
      <c r="C30" s="88"/>
      <c r="D30" s="88"/>
      <c r="E30" s="88"/>
      <c r="F30" s="88"/>
      <c r="G30" s="88"/>
      <c r="H30" s="88"/>
      <c r="I30" s="88"/>
      <c r="J30" s="88"/>
      <c r="K30" s="88"/>
      <c r="L30" s="88"/>
      <c r="M30" s="88"/>
      <c r="N30" s="88"/>
      <c r="O30" s="88"/>
      <c r="P30" s="88"/>
    </row>
    <row r="31" spans="1:16" ht="13.8">
      <c r="A31" s="88"/>
      <c r="B31" s="88"/>
      <c r="C31" s="88"/>
      <c r="D31" s="88"/>
      <c r="E31" s="88"/>
      <c r="F31" s="88"/>
      <c r="G31" s="88"/>
      <c r="H31" s="88"/>
      <c r="I31" s="88"/>
      <c r="J31" s="88"/>
      <c r="K31" s="88"/>
      <c r="L31" s="88"/>
      <c r="M31" s="88"/>
      <c r="N31" s="88"/>
      <c r="O31" s="88"/>
      <c r="P31" s="88"/>
    </row>
    <row r="32" spans="1:16" ht="13.8">
      <c r="A32" s="88"/>
      <c r="B32" s="88"/>
      <c r="C32" s="88"/>
      <c r="D32" s="88"/>
      <c r="E32" s="88"/>
      <c r="F32" s="88"/>
      <c r="G32" s="88"/>
      <c r="H32" s="88"/>
      <c r="I32" s="88"/>
      <c r="J32" s="88"/>
      <c r="K32" s="88"/>
      <c r="L32" s="88"/>
      <c r="M32" s="88"/>
      <c r="N32" s="88"/>
      <c r="O32" s="88"/>
      <c r="P32" s="88"/>
    </row>
    <row r="33" spans="1:16" ht="13.8">
      <c r="A33" s="88"/>
      <c r="B33" s="88"/>
      <c r="C33" s="88"/>
      <c r="D33" s="88"/>
      <c r="E33" s="88"/>
      <c r="F33" s="88"/>
      <c r="G33" s="88"/>
      <c r="H33" s="88"/>
      <c r="I33" s="88"/>
      <c r="J33" s="88"/>
      <c r="K33" s="88"/>
      <c r="L33" s="88"/>
      <c r="M33" s="88"/>
      <c r="N33" s="88"/>
      <c r="O33" s="88"/>
      <c r="P33" s="88"/>
    </row>
    <row r="34" spans="1:16" ht="13.8">
      <c r="A34" s="88"/>
      <c r="B34" s="88"/>
      <c r="C34" s="88"/>
      <c r="D34" s="88"/>
      <c r="E34" s="88"/>
      <c r="F34" s="88"/>
      <c r="G34" s="88"/>
      <c r="H34" s="88"/>
      <c r="I34" s="88"/>
      <c r="J34" s="88"/>
      <c r="K34" s="88"/>
      <c r="L34" s="88"/>
      <c r="M34" s="88"/>
      <c r="N34" s="88"/>
      <c r="O34" s="88"/>
      <c r="P34" s="88"/>
    </row>
    <row r="35" spans="1:16" ht="13.8">
      <c r="A35" s="88"/>
      <c r="B35" s="88"/>
      <c r="C35" s="88"/>
      <c r="D35" s="88"/>
      <c r="E35" s="88"/>
      <c r="F35" s="88"/>
      <c r="G35" s="88"/>
      <c r="H35" s="88"/>
      <c r="I35" s="88"/>
      <c r="J35" s="88"/>
      <c r="K35" s="88"/>
      <c r="L35" s="88"/>
      <c r="M35" s="88"/>
      <c r="N35" s="88"/>
      <c r="O35" s="88"/>
      <c r="P35" s="88"/>
    </row>
    <row r="36" spans="1:16" ht="13.8">
      <c r="A36" s="88"/>
      <c r="B36" s="88"/>
      <c r="C36" s="88"/>
      <c r="D36" s="88"/>
      <c r="E36" s="88"/>
      <c r="F36" s="88"/>
      <c r="G36" s="88"/>
      <c r="H36" s="88"/>
      <c r="I36" s="88"/>
      <c r="J36" s="88"/>
      <c r="K36" s="88"/>
      <c r="L36" s="88"/>
      <c r="M36" s="88"/>
      <c r="N36" s="88"/>
      <c r="O36" s="88"/>
      <c r="P36" s="88"/>
    </row>
    <row r="37" spans="1:16" ht="13.8">
      <c r="A37" s="88"/>
      <c r="B37" s="88"/>
      <c r="C37" s="88"/>
      <c r="D37" s="88"/>
      <c r="E37" s="88"/>
      <c r="F37" s="88"/>
      <c r="G37" s="88"/>
      <c r="H37" s="88"/>
      <c r="I37" s="88"/>
      <c r="J37" s="88"/>
      <c r="K37" s="88"/>
      <c r="L37" s="88"/>
      <c r="M37" s="88"/>
      <c r="N37" s="88"/>
      <c r="O37" s="88"/>
      <c r="P37" s="88"/>
    </row>
    <row r="38" spans="1:16" ht="13.8">
      <c r="A38" s="88"/>
      <c r="B38" s="88"/>
      <c r="C38" s="88"/>
      <c r="D38" s="88"/>
      <c r="E38" s="88"/>
      <c r="F38" s="88"/>
      <c r="G38" s="88"/>
      <c r="H38" s="88"/>
      <c r="I38" s="88"/>
      <c r="J38" s="88"/>
      <c r="K38" s="88"/>
      <c r="L38" s="88"/>
      <c r="M38" s="88"/>
      <c r="N38" s="88"/>
      <c r="O38" s="88"/>
      <c r="P38" s="88"/>
    </row>
    <row r="39" spans="1:16" ht="13.8">
      <c r="A39" s="88"/>
      <c r="B39" s="88"/>
      <c r="C39" s="88"/>
      <c r="D39" s="88"/>
      <c r="E39" s="88"/>
      <c r="F39" s="88"/>
      <c r="G39" s="88"/>
      <c r="H39" s="88"/>
      <c r="I39" s="88"/>
      <c r="J39" s="88"/>
      <c r="K39" s="88"/>
      <c r="L39" s="88"/>
      <c r="M39" s="88"/>
      <c r="N39" s="88"/>
      <c r="O39" s="88"/>
      <c r="P39" s="88"/>
    </row>
    <row r="40" spans="1:16" ht="13.8">
      <c r="A40" s="88"/>
      <c r="B40" s="88"/>
      <c r="C40" s="88"/>
      <c r="D40" s="88"/>
      <c r="E40" s="88"/>
      <c r="F40" s="88"/>
      <c r="G40" s="88"/>
      <c r="H40" s="88"/>
      <c r="I40" s="88"/>
      <c r="J40" s="88"/>
      <c r="K40" s="88"/>
      <c r="L40" s="88"/>
      <c r="M40" s="88"/>
      <c r="N40" s="88"/>
      <c r="O40" s="88"/>
      <c r="P40" s="88"/>
    </row>
    <row r="41" spans="1:16" ht="13.8">
      <c r="A41" s="88"/>
      <c r="B41" s="88"/>
      <c r="C41" s="88"/>
      <c r="D41" s="88"/>
      <c r="E41" s="88"/>
      <c r="F41" s="88"/>
      <c r="G41" s="88"/>
      <c r="H41" s="88"/>
      <c r="I41" s="88"/>
      <c r="J41" s="88"/>
      <c r="K41" s="88"/>
      <c r="L41" s="88"/>
      <c r="M41" s="88"/>
      <c r="N41" s="88"/>
      <c r="O41" s="88"/>
      <c r="P41" s="88"/>
    </row>
    <row r="42" spans="1:16" ht="13.8">
      <c r="A42" s="88"/>
      <c r="B42" s="88"/>
      <c r="C42" s="88"/>
      <c r="D42" s="88"/>
      <c r="E42" s="88"/>
      <c r="F42" s="88"/>
      <c r="G42" s="88"/>
      <c r="H42" s="88"/>
      <c r="I42" s="88"/>
      <c r="J42" s="88"/>
      <c r="K42" s="88"/>
      <c r="L42" s="88"/>
      <c r="M42" s="88"/>
      <c r="N42" s="88"/>
      <c r="O42" s="88"/>
      <c r="P42" s="88"/>
    </row>
    <row r="43" spans="1:16" ht="13.8">
      <c r="A43" s="88"/>
      <c r="B43" s="88"/>
      <c r="C43" s="88"/>
      <c r="D43" s="88"/>
      <c r="E43" s="88"/>
      <c r="F43" s="88"/>
      <c r="G43" s="88"/>
      <c r="H43" s="88"/>
      <c r="I43" s="88"/>
      <c r="J43" s="88"/>
      <c r="K43" s="88"/>
      <c r="L43" s="88"/>
      <c r="M43" s="88"/>
      <c r="N43" s="88"/>
      <c r="O43" s="88"/>
      <c r="P43" s="88"/>
    </row>
    <row r="44" spans="1:16" ht="13.8">
      <c r="A44" s="88"/>
      <c r="B44" s="88"/>
      <c r="C44" s="88"/>
      <c r="D44" s="88"/>
      <c r="E44" s="88"/>
      <c r="F44" s="88"/>
      <c r="G44" s="88"/>
      <c r="H44" s="88"/>
      <c r="I44" s="88"/>
      <c r="J44" s="88"/>
      <c r="K44" s="88"/>
      <c r="L44" s="88"/>
      <c r="M44" s="88"/>
      <c r="N44" s="88"/>
      <c r="O44" s="88"/>
      <c r="P44" s="88"/>
    </row>
    <row r="45" spans="1:16" ht="13.8">
      <c r="A45" s="88"/>
      <c r="B45" s="88"/>
      <c r="C45" s="88"/>
      <c r="D45" s="88"/>
      <c r="E45" s="88"/>
      <c r="F45" s="88"/>
      <c r="G45" s="88"/>
      <c r="H45" s="88"/>
      <c r="I45" s="88"/>
      <c r="J45" s="88"/>
      <c r="K45" s="88"/>
      <c r="L45" s="88"/>
      <c r="M45" s="88"/>
      <c r="N45" s="88"/>
      <c r="O45" s="88"/>
      <c r="P45" s="88"/>
    </row>
    <row r="46" spans="1:16" ht="13.8">
      <c r="A46" s="88"/>
      <c r="B46" s="88"/>
      <c r="C46" s="88"/>
      <c r="D46" s="88"/>
      <c r="E46" s="88"/>
      <c r="F46" s="88"/>
      <c r="G46" s="88"/>
      <c r="H46" s="88"/>
      <c r="I46" s="88"/>
      <c r="J46" s="88"/>
      <c r="K46" s="88"/>
      <c r="L46" s="88"/>
      <c r="M46" s="88"/>
      <c r="N46" s="88"/>
      <c r="O46" s="88"/>
      <c r="P46" s="88"/>
    </row>
    <row r="47" spans="1:16" ht="13.8">
      <c r="A47" s="88"/>
      <c r="B47" s="88"/>
      <c r="C47" s="88"/>
      <c r="D47" s="88"/>
      <c r="E47" s="88"/>
      <c r="F47" s="88"/>
      <c r="G47" s="88"/>
      <c r="H47" s="88"/>
      <c r="I47" s="88"/>
      <c r="J47" s="88"/>
      <c r="K47" s="88"/>
      <c r="L47" s="88"/>
      <c r="M47" s="88"/>
      <c r="N47" s="88"/>
      <c r="O47" s="88"/>
      <c r="P47" s="88"/>
    </row>
    <row r="48" spans="1:16" ht="13.8">
      <c r="A48" s="88"/>
      <c r="B48" s="88"/>
      <c r="C48" s="88"/>
      <c r="D48" s="88"/>
      <c r="E48" s="88"/>
      <c r="F48" s="88"/>
      <c r="G48" s="88"/>
      <c r="H48" s="88"/>
      <c r="I48" s="88"/>
      <c r="J48" s="88"/>
      <c r="K48" s="88"/>
      <c r="L48" s="88"/>
      <c r="M48" s="88"/>
      <c r="N48" s="88"/>
      <c r="O48" s="88"/>
      <c r="P48" s="88"/>
    </row>
    <row r="49" spans="1:16" ht="13.8">
      <c r="A49" s="88"/>
      <c r="B49" s="88"/>
      <c r="C49" s="88"/>
      <c r="D49" s="88"/>
      <c r="E49" s="88"/>
      <c r="F49" s="88"/>
      <c r="G49" s="88"/>
      <c r="H49" s="88"/>
      <c r="I49" s="88"/>
      <c r="J49" s="88"/>
      <c r="K49" s="88"/>
      <c r="L49" s="88"/>
      <c r="M49" s="88"/>
      <c r="N49" s="88"/>
      <c r="O49" s="88"/>
      <c r="P49" s="88"/>
    </row>
    <row r="50" spans="1:16" ht="13.8">
      <c r="A50" s="88"/>
      <c r="B50" s="88"/>
      <c r="C50" s="88"/>
      <c r="D50" s="88"/>
      <c r="E50" s="88"/>
      <c r="F50" s="88"/>
      <c r="G50" s="88"/>
      <c r="H50" s="88"/>
      <c r="I50" s="88"/>
      <c r="J50" s="88"/>
      <c r="K50" s="88"/>
      <c r="L50" s="88"/>
      <c r="M50" s="88"/>
      <c r="N50" s="88"/>
      <c r="O50" s="88"/>
      <c r="P50" s="88"/>
    </row>
    <row r="51" spans="1:16" ht="13.8">
      <c r="A51" s="88"/>
      <c r="B51" s="88"/>
      <c r="C51" s="88"/>
      <c r="D51" s="88"/>
      <c r="E51" s="88"/>
      <c r="F51" s="88"/>
      <c r="G51" s="88"/>
      <c r="H51" s="88"/>
      <c r="I51" s="88"/>
      <c r="J51" s="88"/>
      <c r="K51" s="88"/>
      <c r="L51" s="88"/>
      <c r="M51" s="88"/>
      <c r="N51" s="88"/>
      <c r="O51" s="88"/>
      <c r="P51" s="88"/>
    </row>
    <row r="52" spans="1:16" ht="13.8">
      <c r="A52" s="88"/>
      <c r="B52" s="88"/>
      <c r="C52" s="88"/>
      <c r="D52" s="88"/>
      <c r="E52" s="88"/>
      <c r="F52" s="88"/>
      <c r="G52" s="88"/>
      <c r="H52" s="88"/>
      <c r="I52" s="88"/>
      <c r="J52" s="88"/>
      <c r="K52" s="88"/>
      <c r="L52" s="88"/>
      <c r="M52" s="88"/>
      <c r="N52" s="88"/>
      <c r="O52" s="88"/>
      <c r="P52" s="88"/>
    </row>
    <row r="53" spans="1:16" ht="13.8">
      <c r="A53" s="88"/>
      <c r="B53" s="88"/>
      <c r="C53" s="88"/>
      <c r="D53" s="88"/>
      <c r="E53" s="88"/>
      <c r="F53" s="88"/>
      <c r="G53" s="88"/>
      <c r="H53" s="88"/>
      <c r="I53" s="88"/>
      <c r="J53" s="88"/>
      <c r="K53" s="88"/>
      <c r="L53" s="88"/>
      <c r="M53" s="88"/>
      <c r="N53" s="88"/>
      <c r="O53" s="88"/>
      <c r="P53" s="88"/>
    </row>
    <row r="54" spans="1:16" ht="13.8">
      <c r="A54" s="88"/>
      <c r="B54" s="88"/>
      <c r="C54" s="88"/>
      <c r="D54" s="88"/>
      <c r="E54" s="88"/>
      <c r="F54" s="88"/>
      <c r="G54" s="88"/>
      <c r="H54" s="88"/>
      <c r="I54" s="88"/>
      <c r="J54" s="88"/>
      <c r="K54" s="88"/>
      <c r="L54" s="88"/>
      <c r="M54" s="88"/>
      <c r="N54" s="88"/>
      <c r="O54" s="88"/>
      <c r="P54" s="88"/>
    </row>
    <row r="55" spans="1:16" ht="13.8">
      <c r="A55" s="88"/>
      <c r="B55" s="88"/>
      <c r="C55" s="88"/>
      <c r="D55" s="88"/>
      <c r="E55" s="88"/>
      <c r="F55" s="88"/>
      <c r="G55" s="88"/>
      <c r="H55" s="88"/>
      <c r="I55" s="88"/>
      <c r="J55" s="88"/>
      <c r="K55" s="88"/>
      <c r="L55" s="88"/>
      <c r="M55" s="88"/>
      <c r="N55" s="88"/>
      <c r="O55" s="88"/>
      <c r="P55" s="88"/>
    </row>
    <row r="56" spans="1:16" ht="13.8">
      <c r="A56" s="88"/>
      <c r="B56" s="88"/>
      <c r="C56" s="88"/>
      <c r="D56" s="88"/>
      <c r="E56" s="88"/>
      <c r="F56" s="88"/>
      <c r="G56" s="88"/>
      <c r="H56" s="88"/>
      <c r="I56" s="88"/>
      <c r="J56" s="88"/>
      <c r="K56" s="88"/>
      <c r="L56" s="88"/>
      <c r="M56" s="88"/>
      <c r="N56" s="88"/>
      <c r="O56" s="88"/>
      <c r="P56" s="88"/>
    </row>
    <row r="57" spans="1:16" ht="13.8">
      <c r="A57" s="88"/>
      <c r="B57" s="88"/>
      <c r="C57" s="88"/>
      <c r="D57" s="88"/>
      <c r="E57" s="88"/>
      <c r="F57" s="88"/>
      <c r="G57" s="88"/>
      <c r="H57" s="88"/>
      <c r="I57" s="88"/>
      <c r="J57" s="88"/>
      <c r="K57" s="88"/>
      <c r="L57" s="88"/>
      <c r="M57" s="88"/>
      <c r="N57" s="88"/>
      <c r="O57" s="88"/>
      <c r="P57" s="88"/>
    </row>
    <row r="58" spans="1:16" ht="13.8">
      <c r="A58" s="88"/>
      <c r="B58" s="88"/>
      <c r="C58" s="88"/>
      <c r="D58" s="88"/>
      <c r="E58" s="88"/>
      <c r="F58" s="88"/>
      <c r="G58" s="88"/>
      <c r="H58" s="88"/>
      <c r="I58" s="88"/>
      <c r="J58" s="88"/>
      <c r="K58" s="88"/>
      <c r="L58" s="88"/>
      <c r="M58" s="88"/>
      <c r="N58" s="88"/>
      <c r="O58" s="88"/>
      <c r="P58" s="88"/>
    </row>
    <row r="59" spans="1:16" ht="13.8">
      <c r="A59" s="88"/>
      <c r="B59" s="88"/>
      <c r="C59" s="88"/>
      <c r="D59" s="88"/>
      <c r="E59" s="88"/>
      <c r="F59" s="88"/>
      <c r="G59" s="88"/>
      <c r="H59" s="88"/>
      <c r="I59" s="88"/>
      <c r="J59" s="88"/>
      <c r="K59" s="88"/>
      <c r="L59" s="88"/>
      <c r="M59" s="88"/>
      <c r="N59" s="88"/>
      <c r="O59" s="88"/>
      <c r="P59" s="88"/>
    </row>
    <row r="60" spans="1:16" ht="13.8">
      <c r="A60" s="88"/>
      <c r="B60" s="88"/>
      <c r="C60" s="88"/>
      <c r="D60" s="88"/>
      <c r="E60" s="88"/>
      <c r="F60" s="88"/>
      <c r="G60" s="88"/>
      <c r="H60" s="88"/>
      <c r="I60" s="88"/>
      <c r="J60" s="88"/>
      <c r="K60" s="88"/>
      <c r="L60" s="88"/>
      <c r="M60" s="88"/>
      <c r="N60" s="88"/>
      <c r="O60" s="88"/>
      <c r="P60" s="88"/>
    </row>
    <row r="61" spans="1:16" ht="13.8">
      <c r="A61" s="88"/>
      <c r="B61" s="88"/>
      <c r="C61" s="88"/>
      <c r="D61" s="88"/>
      <c r="E61" s="88"/>
      <c r="F61" s="88"/>
      <c r="G61" s="88"/>
      <c r="H61" s="88"/>
      <c r="I61" s="88"/>
      <c r="J61" s="88"/>
      <c r="K61" s="88"/>
      <c r="L61" s="88"/>
      <c r="M61" s="88"/>
      <c r="N61" s="88"/>
      <c r="O61" s="88"/>
      <c r="P61" s="88"/>
    </row>
  </sheetData>
  <mergeCells count="3">
    <mergeCell ref="B2:F2"/>
    <mergeCell ref="B3:F3"/>
    <mergeCell ref="B4:F4"/>
  </mergeCells>
  <dataValidations count="2">
    <dataValidation allowBlank="1" showErrorMessage="1" sqref="G10 J10 M10" xr:uid="{22FC3A29-6F3D-4F2A-AE1A-0444D93733B6}"/>
    <dataValidation type="list" allowBlank="1" showErrorMessage="1" sqref="H2:H3 H9 N2:N3 K30:K137 K2:K3 K9 N9 N30:N137 H30:H137" xr:uid="{2DA04EEE-8F23-4EF0-8E0D-30CA061F6D85}">
      <formula1>$S$2:$S$5</formula1>
      <formula2>0</formula2>
    </dataValidation>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0FB8-3876-4D54-A5B6-5ECDB1BBA5BB}">
  <sheetPr>
    <outlinePr summaryBelow="0" summaryRight="0"/>
  </sheetPr>
  <dimension ref="A1:S61"/>
  <sheetViews>
    <sheetView zoomScale="85" zoomScaleNormal="85" workbookViewId="0">
      <pane ySplit="10" topLeftCell="A11" activePane="bottomLeft" state="frozen"/>
      <selection pane="bottomLeft" activeCell="B15" sqref="B15"/>
    </sheetView>
  </sheetViews>
  <sheetFormatPr defaultColWidth="9" defaultRowHeight="13.2" outlineLevelRow="1" outlineLevelCol="1"/>
  <cols>
    <col min="1" max="1" width="17" style="1" customWidth="1"/>
    <col min="2" max="2" width="34.44140625" style="1" customWidth="1"/>
    <col min="3" max="3" width="34.109375" style="1" customWidth="1"/>
    <col min="4" max="5" width="34.5546875" style="1" customWidth="1"/>
    <col min="6" max="6" width="28.44140625" style="1" customWidth="1"/>
    <col min="7" max="7" width="9.44140625" style="1" customWidth="1"/>
    <col min="8" max="8" width="10.5546875" style="1" customWidth="1" outlineLevel="1"/>
    <col min="9" max="9" width="14.33203125" style="1" bestFit="1" customWidth="1" outlineLevel="1"/>
    <col min="10" max="10" width="9.44140625" style="1" customWidth="1"/>
    <col min="11" max="11" width="10.5546875" style="1" customWidth="1" outlineLevel="1"/>
    <col min="12" max="12" width="14.109375" style="1" bestFit="1" customWidth="1" outlineLevel="1"/>
    <col min="13" max="13" width="9.44140625" style="1" customWidth="1"/>
    <col min="14" max="14" width="10.5546875" style="1" customWidth="1" outlineLevel="1"/>
    <col min="15" max="15" width="14.109375" style="1" bestFit="1" customWidth="1" outlineLevel="1"/>
    <col min="16" max="16" width="28.5546875" style="1" customWidth="1"/>
    <col min="17" max="17" width="10.109375" style="1" customWidth="1"/>
    <col min="18" max="18" width="8.109375" style="15" customWidth="1"/>
    <col min="19" max="19" width="7.5546875" style="1" hidden="1" customWidth="1"/>
    <col min="20" max="16384" width="9" style="1"/>
  </cols>
  <sheetData>
    <row r="1" spans="1:19" ht="13.8" thickBot="1"/>
    <row r="2" spans="1:19" s="17" customFormat="1" ht="15" customHeight="1">
      <c r="A2" s="62" t="s">
        <v>81</v>
      </c>
      <c r="B2" s="171" t="s">
        <v>145</v>
      </c>
      <c r="C2" s="171"/>
      <c r="D2" s="171"/>
      <c r="E2" s="175"/>
      <c r="F2" s="172"/>
      <c r="G2" s="52"/>
      <c r="H2" s="46"/>
      <c r="I2" s="9"/>
      <c r="J2" s="52"/>
      <c r="K2" s="46"/>
      <c r="L2" s="9"/>
      <c r="M2" s="52"/>
      <c r="N2" s="46"/>
      <c r="O2" s="9"/>
      <c r="P2" s="9"/>
      <c r="Q2" s="9"/>
      <c r="R2" s="16"/>
      <c r="S2" s="17" t="s">
        <v>30</v>
      </c>
    </row>
    <row r="3" spans="1:19" s="17" customFormat="1" ht="26.4">
      <c r="A3" s="63" t="s">
        <v>40</v>
      </c>
      <c r="B3" s="173" t="s">
        <v>84</v>
      </c>
      <c r="C3" s="173"/>
      <c r="D3" s="173"/>
      <c r="E3" s="176"/>
      <c r="F3" s="174"/>
      <c r="G3" s="52"/>
      <c r="H3" s="46"/>
      <c r="I3" s="9"/>
      <c r="J3" s="52"/>
      <c r="K3" s="46"/>
      <c r="L3" s="9"/>
      <c r="M3" s="52"/>
      <c r="N3" s="46"/>
      <c r="O3" s="9"/>
      <c r="P3" s="9"/>
      <c r="Q3" s="9"/>
      <c r="R3" s="16"/>
      <c r="S3" s="17" t="s">
        <v>31</v>
      </c>
    </row>
    <row r="4" spans="1:19" s="17" customFormat="1" ht="18" customHeight="1">
      <c r="A4" s="63" t="s">
        <v>41</v>
      </c>
      <c r="B4" s="173">
        <f>COUNTA(A12:A990)</f>
        <v>5</v>
      </c>
      <c r="C4" s="173"/>
      <c r="D4" s="173"/>
      <c r="E4" s="176"/>
      <c r="F4" s="174"/>
      <c r="G4" s="52"/>
      <c r="H4" s="46"/>
      <c r="I4" s="9"/>
      <c r="J4" s="52"/>
      <c r="K4" s="46"/>
      <c r="L4" s="9"/>
      <c r="M4" s="52"/>
      <c r="N4" s="46"/>
      <c r="O4" s="9"/>
      <c r="P4" s="9"/>
      <c r="Q4" s="9"/>
      <c r="R4" s="16"/>
      <c r="S4" s="17" t="s">
        <v>32</v>
      </c>
    </row>
    <row r="5" spans="1:19" s="17" customFormat="1" ht="19.5" customHeight="1">
      <c r="A5" s="56" t="s">
        <v>42</v>
      </c>
      <c r="B5" s="54" t="s">
        <v>30</v>
      </c>
      <c r="C5" s="54" t="s">
        <v>31</v>
      </c>
      <c r="D5" s="54" t="s">
        <v>32</v>
      </c>
      <c r="E5" s="142"/>
      <c r="F5" s="57" t="s">
        <v>33</v>
      </c>
      <c r="G5" s="47"/>
      <c r="H5" s="47"/>
      <c r="I5" s="18"/>
      <c r="J5" s="47"/>
      <c r="K5" s="47"/>
      <c r="L5" s="18"/>
      <c r="M5" s="47"/>
      <c r="N5" s="47"/>
      <c r="O5" s="18"/>
      <c r="P5" s="18"/>
      <c r="Q5" s="18"/>
      <c r="R5" s="19"/>
      <c r="S5" s="17" t="s">
        <v>33</v>
      </c>
    </row>
    <row r="6" spans="1:19" s="17" customFormat="1" ht="15" customHeight="1">
      <c r="A6" s="56" t="s">
        <v>43</v>
      </c>
      <c r="B6" s="55">
        <f>COUNTIF($G$10:$G$988,"Passed")</f>
        <v>0</v>
      </c>
      <c r="C6" s="55">
        <f>COUNTIF($G$10:$G$988,"Failed")</f>
        <v>0</v>
      </c>
      <c r="D6" s="55">
        <f>COUNTIF($G$10:$G$988,"pending")</f>
        <v>0</v>
      </c>
      <c r="E6" s="143"/>
      <c r="F6" s="61">
        <f>COUNTIF($G10:$G988,F5)</f>
        <v>0</v>
      </c>
      <c r="G6" s="48"/>
      <c r="H6" s="48"/>
      <c r="I6" s="18"/>
      <c r="J6" s="48"/>
      <c r="K6" s="48"/>
      <c r="L6" s="18"/>
      <c r="M6" s="48"/>
      <c r="N6" s="48"/>
      <c r="O6" s="18"/>
      <c r="P6" s="18"/>
      <c r="Q6" s="18"/>
      <c r="R6" s="19"/>
    </row>
    <row r="7" spans="1:19" s="17" customFormat="1" ht="15" customHeight="1">
      <c r="A7" s="56" t="s">
        <v>44</v>
      </c>
      <c r="B7" s="55">
        <f>COUNTIF($J10:$J988,B5)</f>
        <v>0</v>
      </c>
      <c r="C7" s="55">
        <f>COUNTIF($J10:$J988,C5)</f>
        <v>0</v>
      </c>
      <c r="D7" s="55">
        <f>COUNTIF($J10:$J988,D5)</f>
        <v>0</v>
      </c>
      <c r="E7" s="143"/>
      <c r="F7" s="61">
        <f>COUNTIF($J10:$J988,F5)</f>
        <v>0</v>
      </c>
      <c r="G7" s="48"/>
      <c r="H7" s="48"/>
      <c r="I7" s="18"/>
      <c r="J7" s="48"/>
      <c r="K7" s="48"/>
      <c r="L7" s="18"/>
      <c r="M7" s="48"/>
      <c r="N7" s="48"/>
      <c r="O7" s="18"/>
      <c r="P7" s="18"/>
      <c r="Q7" s="18"/>
      <c r="R7" s="19"/>
    </row>
    <row r="8" spans="1:19" s="17" customFormat="1" ht="15" customHeight="1" thickBot="1">
      <c r="A8" s="58" t="s">
        <v>45</v>
      </c>
      <c r="B8" s="59">
        <f>COUNTIF($M10:$M988,B5)</f>
        <v>0</v>
      </c>
      <c r="C8" s="59">
        <f>COUNTIF($M10:$M988,C5)</f>
        <v>0</v>
      </c>
      <c r="D8" s="59">
        <f>COUNTIF($M10:$M988,D5)</f>
        <v>0</v>
      </c>
      <c r="E8" s="144"/>
      <c r="F8" s="60">
        <f>COUNTIF($G10:$G988,F5)</f>
        <v>0</v>
      </c>
      <c r="G8" s="48"/>
      <c r="H8" s="48"/>
      <c r="I8" s="18"/>
      <c r="J8" s="48"/>
      <c r="K8" s="48"/>
      <c r="L8" s="18"/>
      <c r="M8" s="48"/>
      <c r="N8" s="48"/>
      <c r="O8" s="18"/>
      <c r="P8" s="18"/>
      <c r="Q8" s="18"/>
      <c r="R8" s="19"/>
    </row>
    <row r="9" spans="1:19" s="17" customFormat="1" ht="15" customHeight="1">
      <c r="A9" s="18"/>
      <c r="B9" s="18"/>
      <c r="C9" s="18"/>
      <c r="D9" s="18"/>
      <c r="E9" s="18"/>
      <c r="F9" s="18"/>
      <c r="G9" s="20"/>
      <c r="H9" s="18"/>
      <c r="I9" s="18"/>
      <c r="J9" s="20"/>
      <c r="K9" s="18"/>
      <c r="L9" s="18"/>
      <c r="M9" s="20"/>
      <c r="N9" s="18"/>
      <c r="O9" s="18"/>
      <c r="P9" s="18"/>
      <c r="Q9" s="18"/>
      <c r="R9" s="19"/>
    </row>
    <row r="10" spans="1:19" s="17" customFormat="1" ht="25.5" customHeight="1">
      <c r="A10" s="89" t="s">
        <v>46</v>
      </c>
      <c r="B10" s="89" t="s">
        <v>47</v>
      </c>
      <c r="C10" s="116" t="s">
        <v>48</v>
      </c>
      <c r="D10" s="89" t="s">
        <v>49</v>
      </c>
      <c r="E10" s="89"/>
      <c r="F10" s="89" t="s">
        <v>50</v>
      </c>
      <c r="G10" s="89" t="s">
        <v>43</v>
      </c>
      <c r="H10" s="89" t="s">
        <v>51</v>
      </c>
      <c r="I10" s="89" t="s">
        <v>52</v>
      </c>
      <c r="J10" s="89" t="s">
        <v>44</v>
      </c>
      <c r="K10" s="89" t="s">
        <v>51</v>
      </c>
      <c r="L10" s="89" t="s">
        <v>52</v>
      </c>
      <c r="M10" s="89" t="s">
        <v>45</v>
      </c>
      <c r="N10" s="89" t="s">
        <v>51</v>
      </c>
      <c r="O10" s="89" t="s">
        <v>52</v>
      </c>
      <c r="P10" s="89" t="s">
        <v>53</v>
      </c>
      <c r="R10" s="21"/>
    </row>
    <row r="11" spans="1:19" s="31" customFormat="1" ht="13.8" outlineLevel="1">
      <c r="A11" s="126" t="s">
        <v>145</v>
      </c>
      <c r="B11" s="112"/>
      <c r="C11" s="117"/>
      <c r="D11" s="112"/>
      <c r="E11" s="112"/>
      <c r="F11" s="112"/>
      <c r="G11" s="112"/>
      <c r="H11" s="90"/>
      <c r="I11" s="91"/>
      <c r="J11" s="90"/>
      <c r="K11" s="90"/>
      <c r="L11" s="91"/>
      <c r="M11" s="90"/>
      <c r="N11" s="90"/>
      <c r="O11" s="91"/>
      <c r="P11" s="91"/>
      <c r="R11" s="30"/>
    </row>
    <row r="12" spans="1:19" s="17" customFormat="1" ht="26.4">
      <c r="A12" s="141" t="s">
        <v>128</v>
      </c>
      <c r="B12" s="141" t="s">
        <v>129</v>
      </c>
      <c r="C12" s="141" t="s">
        <v>130</v>
      </c>
      <c r="D12" s="141" t="s">
        <v>118</v>
      </c>
      <c r="E12" s="141" t="s">
        <v>131</v>
      </c>
      <c r="F12" s="141" t="s">
        <v>132</v>
      </c>
      <c r="G12" s="148"/>
      <c r="H12" s="145"/>
      <c r="I12" s="93"/>
      <c r="J12" s="94"/>
      <c r="K12" s="26"/>
      <c r="L12" s="93"/>
      <c r="M12" s="92"/>
      <c r="N12" s="92"/>
      <c r="O12" s="93"/>
      <c r="P12" s="93"/>
      <c r="R12" s="25"/>
    </row>
    <row r="13" spans="1:19" s="17" customFormat="1" ht="26.4">
      <c r="A13" s="141" t="s">
        <v>133</v>
      </c>
      <c r="B13" s="141" t="s">
        <v>129</v>
      </c>
      <c r="C13" s="141" t="s">
        <v>125</v>
      </c>
      <c r="D13" s="141" t="s">
        <v>121</v>
      </c>
      <c r="E13" s="141" t="s">
        <v>125</v>
      </c>
      <c r="F13" s="141" t="s">
        <v>132</v>
      </c>
      <c r="G13" s="148"/>
      <c r="H13" s="146"/>
      <c r="I13" s="106"/>
      <c r="J13" s="105"/>
      <c r="K13" s="107"/>
      <c r="L13" s="106"/>
      <c r="M13" s="104"/>
      <c r="N13" s="104"/>
      <c r="O13" s="106"/>
      <c r="P13" s="106"/>
      <c r="R13" s="25"/>
    </row>
    <row r="14" spans="1:19" ht="39.6" outlineLevel="1">
      <c r="A14" s="141" t="s">
        <v>134</v>
      </c>
      <c r="B14" s="141" t="s">
        <v>129</v>
      </c>
      <c r="C14" s="141" t="s">
        <v>135</v>
      </c>
      <c r="D14" s="141" t="s">
        <v>121</v>
      </c>
      <c r="E14" s="141" t="s">
        <v>131</v>
      </c>
      <c r="F14" s="141" t="s">
        <v>136</v>
      </c>
      <c r="G14" s="115"/>
      <c r="H14" s="147"/>
      <c r="I14" s="109"/>
      <c r="J14" s="94"/>
      <c r="K14" s="110"/>
      <c r="L14" s="109"/>
      <c r="M14" s="108"/>
      <c r="N14" s="108"/>
      <c r="O14" s="109"/>
      <c r="P14" s="109"/>
      <c r="R14" s="30"/>
    </row>
    <row r="15" spans="1:19" ht="26.4">
      <c r="A15" s="141" t="s">
        <v>137</v>
      </c>
      <c r="B15" s="141" t="s">
        <v>138</v>
      </c>
      <c r="C15" s="141" t="s">
        <v>130</v>
      </c>
      <c r="D15" s="141" t="s">
        <v>118</v>
      </c>
      <c r="E15" s="141"/>
      <c r="F15" s="141" t="s">
        <v>122</v>
      </c>
      <c r="G15" s="121"/>
      <c r="H15" s="120"/>
      <c r="I15" s="122"/>
      <c r="J15" s="121"/>
      <c r="K15" s="120"/>
      <c r="L15" s="122"/>
      <c r="M15" s="120"/>
      <c r="N15" s="120"/>
      <c r="O15" s="122"/>
      <c r="P15" s="122"/>
    </row>
    <row r="16" spans="1:19" ht="26.4">
      <c r="A16" s="141" t="s">
        <v>139</v>
      </c>
      <c r="B16" s="141" t="s">
        <v>129</v>
      </c>
      <c r="C16" s="141" t="s">
        <v>140</v>
      </c>
      <c r="D16" s="141" t="s">
        <v>141</v>
      </c>
      <c r="E16" s="141" t="s">
        <v>140</v>
      </c>
      <c r="F16" s="141" t="s">
        <v>132</v>
      </c>
      <c r="G16" s="123"/>
      <c r="H16" s="120"/>
      <c r="I16" s="122"/>
      <c r="J16" s="123"/>
      <c r="K16" s="124"/>
      <c r="L16" s="122"/>
      <c r="M16" s="120"/>
      <c r="N16" s="120"/>
      <c r="O16" s="122"/>
      <c r="P16" s="122"/>
    </row>
    <row r="17" spans="1:16" ht="15.6">
      <c r="A17" s="113"/>
      <c r="B17" s="113"/>
      <c r="C17" s="118"/>
      <c r="D17" s="113"/>
      <c r="E17" s="113"/>
      <c r="F17" s="113"/>
      <c r="G17" s="123"/>
      <c r="H17" s="120"/>
      <c r="I17" s="122"/>
      <c r="J17" s="123"/>
      <c r="K17" s="124"/>
      <c r="L17" s="122"/>
      <c r="M17" s="120"/>
      <c r="N17" s="120"/>
      <c r="O17" s="122"/>
      <c r="P17" s="122"/>
    </row>
    <row r="18" spans="1:16" ht="15.6">
      <c r="A18" s="113"/>
      <c r="B18" s="113"/>
      <c r="C18" s="119"/>
      <c r="D18" s="113"/>
      <c r="E18" s="113"/>
      <c r="F18" s="113"/>
      <c r="G18" s="123"/>
      <c r="H18" s="120"/>
      <c r="I18" s="122"/>
      <c r="J18" s="123"/>
      <c r="K18" s="124"/>
      <c r="L18" s="122"/>
      <c r="M18" s="120"/>
      <c r="N18" s="120"/>
      <c r="O18" s="122"/>
      <c r="P18" s="122"/>
    </row>
    <row r="19" spans="1:16" ht="15.6">
      <c r="A19" s="113"/>
      <c r="B19" s="113"/>
      <c r="C19" s="118"/>
      <c r="D19" s="113"/>
      <c r="E19" s="113"/>
      <c r="F19" s="113"/>
      <c r="G19" s="123"/>
      <c r="H19" s="120"/>
      <c r="I19" s="122"/>
      <c r="J19" s="123"/>
      <c r="K19" s="124"/>
      <c r="L19" s="122"/>
      <c r="M19" s="120"/>
      <c r="N19" s="120"/>
      <c r="O19" s="122"/>
      <c r="P19" s="122"/>
    </row>
    <row r="20" spans="1:16" ht="15.6">
      <c r="A20" s="113"/>
      <c r="B20" s="113"/>
      <c r="C20" s="119"/>
      <c r="D20" s="113"/>
      <c r="E20" s="113"/>
      <c r="F20" s="113"/>
      <c r="G20" s="125"/>
      <c r="H20" s="120"/>
      <c r="I20" s="122"/>
      <c r="J20" s="125"/>
      <c r="K20" s="120"/>
      <c r="L20" s="122"/>
      <c r="M20" s="120"/>
      <c r="N20" s="120"/>
      <c r="O20" s="122"/>
      <c r="P20" s="122"/>
    </row>
    <row r="21" spans="1:16" ht="15.6">
      <c r="A21" s="113"/>
      <c r="B21" s="113"/>
      <c r="C21" s="119"/>
      <c r="D21" s="113"/>
      <c r="E21" s="113"/>
      <c r="F21" s="113"/>
      <c r="G21" s="123"/>
      <c r="H21" s="120"/>
      <c r="I21" s="122"/>
      <c r="J21" s="123"/>
      <c r="K21" s="124"/>
      <c r="L21" s="122"/>
      <c r="M21" s="120"/>
      <c r="N21" s="120"/>
      <c r="O21" s="122"/>
      <c r="P21" s="122"/>
    </row>
    <row r="30" spans="1:16" ht="13.8">
      <c r="A30" s="88"/>
      <c r="B30" s="88"/>
      <c r="C30" s="88"/>
      <c r="D30" s="88"/>
      <c r="E30" s="88"/>
      <c r="F30" s="88"/>
      <c r="G30" s="88"/>
      <c r="H30" s="88"/>
      <c r="I30" s="88"/>
      <c r="J30" s="88"/>
      <c r="K30" s="88"/>
      <c r="L30" s="88"/>
      <c r="M30" s="88"/>
      <c r="N30" s="88"/>
      <c r="O30" s="88"/>
      <c r="P30" s="88"/>
    </row>
    <row r="31" spans="1:16" ht="13.8">
      <c r="A31" s="88"/>
      <c r="B31" s="88"/>
      <c r="C31" s="88"/>
      <c r="D31" s="88"/>
      <c r="E31" s="88"/>
      <c r="F31" s="88"/>
      <c r="G31" s="88"/>
      <c r="H31" s="88"/>
      <c r="I31" s="88"/>
      <c r="J31" s="88"/>
      <c r="K31" s="88"/>
      <c r="L31" s="88"/>
      <c r="M31" s="88"/>
      <c r="N31" s="88"/>
      <c r="O31" s="88"/>
      <c r="P31" s="88"/>
    </row>
    <row r="32" spans="1:16" ht="13.8">
      <c r="A32" s="88"/>
      <c r="B32" s="88"/>
      <c r="C32" s="88"/>
      <c r="D32" s="88"/>
      <c r="E32" s="88"/>
      <c r="F32" s="88"/>
      <c r="G32" s="88"/>
      <c r="H32" s="88"/>
      <c r="I32" s="88"/>
      <c r="J32" s="88"/>
      <c r="K32" s="88"/>
      <c r="L32" s="88"/>
      <c r="M32" s="88"/>
      <c r="N32" s="88"/>
      <c r="O32" s="88"/>
      <c r="P32" s="88"/>
    </row>
    <row r="33" spans="1:16" ht="13.8">
      <c r="A33" s="88"/>
      <c r="B33" s="88"/>
      <c r="C33" s="88"/>
      <c r="D33" s="88"/>
      <c r="E33" s="88"/>
      <c r="F33" s="88"/>
      <c r="G33" s="88"/>
      <c r="H33" s="88"/>
      <c r="I33" s="88"/>
      <c r="J33" s="88"/>
      <c r="K33" s="88"/>
      <c r="L33" s="88"/>
      <c r="M33" s="88"/>
      <c r="N33" s="88"/>
      <c r="O33" s="88"/>
      <c r="P33" s="88"/>
    </row>
    <row r="34" spans="1:16" ht="13.8">
      <c r="A34" s="88"/>
      <c r="B34" s="88"/>
      <c r="C34" s="88"/>
      <c r="D34" s="88"/>
      <c r="E34" s="88"/>
      <c r="F34" s="88"/>
      <c r="G34" s="88"/>
      <c r="H34" s="88"/>
      <c r="I34" s="88"/>
      <c r="J34" s="88"/>
      <c r="K34" s="88"/>
      <c r="L34" s="88"/>
      <c r="M34" s="88"/>
      <c r="N34" s="88"/>
      <c r="O34" s="88"/>
      <c r="P34" s="88"/>
    </row>
    <row r="35" spans="1:16" ht="13.8">
      <c r="A35" s="88"/>
      <c r="B35" s="88"/>
      <c r="C35" s="88"/>
      <c r="D35" s="88"/>
      <c r="E35" s="88"/>
      <c r="F35" s="88"/>
      <c r="G35" s="88"/>
      <c r="H35" s="88"/>
      <c r="I35" s="88"/>
      <c r="J35" s="88"/>
      <c r="K35" s="88"/>
      <c r="L35" s="88"/>
      <c r="M35" s="88"/>
      <c r="N35" s="88"/>
      <c r="O35" s="88"/>
      <c r="P35" s="88"/>
    </row>
    <row r="36" spans="1:16" ht="13.8">
      <c r="A36" s="88"/>
      <c r="B36" s="88"/>
      <c r="C36" s="88"/>
      <c r="D36" s="88"/>
      <c r="E36" s="88"/>
      <c r="F36" s="88"/>
      <c r="G36" s="88"/>
      <c r="H36" s="88"/>
      <c r="I36" s="88"/>
      <c r="J36" s="88"/>
      <c r="K36" s="88"/>
      <c r="L36" s="88"/>
      <c r="M36" s="88"/>
      <c r="N36" s="88"/>
      <c r="O36" s="88"/>
      <c r="P36" s="88"/>
    </row>
    <row r="37" spans="1:16" ht="13.8">
      <c r="A37" s="88"/>
      <c r="B37" s="88"/>
      <c r="C37" s="88"/>
      <c r="D37" s="88"/>
      <c r="E37" s="88"/>
      <c r="F37" s="88"/>
      <c r="G37" s="88"/>
      <c r="H37" s="88"/>
      <c r="I37" s="88"/>
      <c r="J37" s="88"/>
      <c r="K37" s="88"/>
      <c r="L37" s="88"/>
      <c r="M37" s="88"/>
      <c r="N37" s="88"/>
      <c r="O37" s="88"/>
      <c r="P37" s="88"/>
    </row>
    <row r="38" spans="1:16" ht="13.8">
      <c r="A38" s="88"/>
      <c r="B38" s="88"/>
      <c r="C38" s="88"/>
      <c r="D38" s="88"/>
      <c r="E38" s="88"/>
      <c r="F38" s="88"/>
      <c r="G38" s="88"/>
      <c r="H38" s="88"/>
      <c r="I38" s="88"/>
      <c r="J38" s="88"/>
      <c r="K38" s="88"/>
      <c r="L38" s="88"/>
      <c r="M38" s="88"/>
      <c r="N38" s="88"/>
      <c r="O38" s="88"/>
      <c r="P38" s="88"/>
    </row>
    <row r="39" spans="1:16" ht="13.8">
      <c r="A39" s="88"/>
      <c r="B39" s="88"/>
      <c r="C39" s="88"/>
      <c r="D39" s="88"/>
      <c r="E39" s="88"/>
      <c r="F39" s="88"/>
      <c r="G39" s="88"/>
      <c r="H39" s="88"/>
      <c r="I39" s="88"/>
      <c r="J39" s="88"/>
      <c r="K39" s="88"/>
      <c r="L39" s="88"/>
      <c r="M39" s="88"/>
      <c r="N39" s="88"/>
      <c r="O39" s="88"/>
      <c r="P39" s="88"/>
    </row>
    <row r="40" spans="1:16" ht="13.8">
      <c r="A40" s="88"/>
      <c r="B40" s="88"/>
      <c r="C40" s="88"/>
      <c r="D40" s="88"/>
      <c r="E40" s="88"/>
      <c r="F40" s="88"/>
      <c r="G40" s="88"/>
      <c r="H40" s="88"/>
      <c r="I40" s="88"/>
      <c r="J40" s="88"/>
      <c r="K40" s="88"/>
      <c r="L40" s="88"/>
      <c r="M40" s="88"/>
      <c r="N40" s="88"/>
      <c r="O40" s="88"/>
      <c r="P40" s="88"/>
    </row>
    <row r="41" spans="1:16" ht="13.8">
      <c r="A41" s="88"/>
      <c r="B41" s="88"/>
      <c r="C41" s="88"/>
      <c r="D41" s="88"/>
      <c r="E41" s="88"/>
      <c r="F41" s="88"/>
      <c r="G41" s="88"/>
      <c r="H41" s="88"/>
      <c r="I41" s="88"/>
      <c r="J41" s="88"/>
      <c r="K41" s="88"/>
      <c r="L41" s="88"/>
      <c r="M41" s="88"/>
      <c r="N41" s="88"/>
      <c r="O41" s="88"/>
      <c r="P41" s="88"/>
    </row>
    <row r="42" spans="1:16" ht="13.8">
      <c r="A42" s="88"/>
      <c r="B42" s="88"/>
      <c r="C42" s="88"/>
      <c r="D42" s="88"/>
      <c r="E42" s="88"/>
      <c r="F42" s="88"/>
      <c r="G42" s="88"/>
      <c r="H42" s="88"/>
      <c r="I42" s="88"/>
      <c r="J42" s="88"/>
      <c r="K42" s="88"/>
      <c r="L42" s="88"/>
      <c r="M42" s="88"/>
      <c r="N42" s="88"/>
      <c r="O42" s="88"/>
      <c r="P42" s="88"/>
    </row>
    <row r="43" spans="1:16" ht="13.8">
      <c r="A43" s="88"/>
      <c r="B43" s="88"/>
      <c r="C43" s="88"/>
      <c r="D43" s="88"/>
      <c r="E43" s="88"/>
      <c r="F43" s="88"/>
      <c r="G43" s="88"/>
      <c r="H43" s="88"/>
      <c r="I43" s="88"/>
      <c r="J43" s="88"/>
      <c r="K43" s="88"/>
      <c r="L43" s="88"/>
      <c r="M43" s="88"/>
      <c r="N43" s="88"/>
      <c r="O43" s="88"/>
      <c r="P43" s="88"/>
    </row>
    <row r="44" spans="1:16" ht="13.8">
      <c r="A44" s="88"/>
      <c r="B44" s="88"/>
      <c r="C44" s="88"/>
      <c r="D44" s="88"/>
      <c r="E44" s="88"/>
      <c r="F44" s="88"/>
      <c r="G44" s="88"/>
      <c r="H44" s="88"/>
      <c r="I44" s="88"/>
      <c r="J44" s="88"/>
      <c r="K44" s="88"/>
      <c r="L44" s="88"/>
      <c r="M44" s="88"/>
      <c r="N44" s="88"/>
      <c r="O44" s="88"/>
      <c r="P44" s="88"/>
    </row>
    <row r="45" spans="1:16" ht="13.8">
      <c r="A45" s="88"/>
      <c r="B45" s="88"/>
      <c r="C45" s="88"/>
      <c r="D45" s="88"/>
      <c r="E45" s="88"/>
      <c r="F45" s="88"/>
      <c r="G45" s="88"/>
      <c r="H45" s="88"/>
      <c r="I45" s="88"/>
      <c r="J45" s="88"/>
      <c r="K45" s="88"/>
      <c r="L45" s="88"/>
      <c r="M45" s="88"/>
      <c r="N45" s="88"/>
      <c r="O45" s="88"/>
      <c r="P45" s="88"/>
    </row>
    <row r="46" spans="1:16" ht="13.8">
      <c r="A46" s="88"/>
      <c r="B46" s="88"/>
      <c r="C46" s="88"/>
      <c r="D46" s="88"/>
      <c r="E46" s="88"/>
      <c r="F46" s="88"/>
      <c r="G46" s="88"/>
      <c r="H46" s="88"/>
      <c r="I46" s="88"/>
      <c r="J46" s="88"/>
      <c r="K46" s="88"/>
      <c r="L46" s="88"/>
      <c r="M46" s="88"/>
      <c r="N46" s="88"/>
      <c r="O46" s="88"/>
      <c r="P46" s="88"/>
    </row>
    <row r="47" spans="1:16" ht="13.8">
      <c r="A47" s="88"/>
      <c r="B47" s="88"/>
      <c r="C47" s="88"/>
      <c r="D47" s="88"/>
      <c r="E47" s="88"/>
      <c r="F47" s="88"/>
      <c r="G47" s="88"/>
      <c r="H47" s="88"/>
      <c r="I47" s="88"/>
      <c r="J47" s="88"/>
      <c r="K47" s="88"/>
      <c r="L47" s="88"/>
      <c r="M47" s="88"/>
      <c r="N47" s="88"/>
      <c r="O47" s="88"/>
      <c r="P47" s="88"/>
    </row>
    <row r="48" spans="1:16" ht="13.8">
      <c r="A48" s="88"/>
      <c r="B48" s="88"/>
      <c r="C48" s="88"/>
      <c r="D48" s="88"/>
      <c r="E48" s="88"/>
      <c r="F48" s="88"/>
      <c r="G48" s="88"/>
      <c r="H48" s="88"/>
      <c r="I48" s="88"/>
      <c r="J48" s="88"/>
      <c r="K48" s="88"/>
      <c r="L48" s="88"/>
      <c r="M48" s="88"/>
      <c r="N48" s="88"/>
      <c r="O48" s="88"/>
      <c r="P48" s="88"/>
    </row>
    <row r="49" spans="1:16" ht="13.8">
      <c r="A49" s="88"/>
      <c r="B49" s="88"/>
      <c r="C49" s="88"/>
      <c r="D49" s="88"/>
      <c r="E49" s="88"/>
      <c r="F49" s="88"/>
      <c r="G49" s="88"/>
      <c r="H49" s="88"/>
      <c r="I49" s="88"/>
      <c r="J49" s="88"/>
      <c r="K49" s="88"/>
      <c r="L49" s="88"/>
      <c r="M49" s="88"/>
      <c r="N49" s="88"/>
      <c r="O49" s="88"/>
      <c r="P49" s="88"/>
    </row>
    <row r="50" spans="1:16" ht="13.8">
      <c r="A50" s="88"/>
      <c r="B50" s="88"/>
      <c r="C50" s="88"/>
      <c r="D50" s="88"/>
      <c r="E50" s="88"/>
      <c r="F50" s="88"/>
      <c r="G50" s="88"/>
      <c r="H50" s="88"/>
      <c r="I50" s="88"/>
      <c r="J50" s="88"/>
      <c r="K50" s="88"/>
      <c r="L50" s="88"/>
      <c r="M50" s="88"/>
      <c r="N50" s="88"/>
      <c r="O50" s="88"/>
      <c r="P50" s="88"/>
    </row>
    <row r="51" spans="1:16" ht="13.8">
      <c r="A51" s="88"/>
      <c r="B51" s="88"/>
      <c r="C51" s="88"/>
      <c r="D51" s="88"/>
      <c r="E51" s="88"/>
      <c r="F51" s="88"/>
      <c r="G51" s="88"/>
      <c r="H51" s="88"/>
      <c r="I51" s="88"/>
      <c r="J51" s="88"/>
      <c r="K51" s="88"/>
      <c r="L51" s="88"/>
      <c r="M51" s="88"/>
      <c r="N51" s="88"/>
      <c r="O51" s="88"/>
      <c r="P51" s="88"/>
    </row>
    <row r="52" spans="1:16" ht="13.8">
      <c r="A52" s="88"/>
      <c r="B52" s="88"/>
      <c r="C52" s="88"/>
      <c r="D52" s="88"/>
      <c r="E52" s="88"/>
      <c r="F52" s="88"/>
      <c r="G52" s="88"/>
      <c r="H52" s="88"/>
      <c r="I52" s="88"/>
      <c r="J52" s="88"/>
      <c r="K52" s="88"/>
      <c r="L52" s="88"/>
      <c r="M52" s="88"/>
      <c r="N52" s="88"/>
      <c r="O52" s="88"/>
      <c r="P52" s="88"/>
    </row>
    <row r="53" spans="1:16" ht="13.8">
      <c r="A53" s="88"/>
      <c r="B53" s="88"/>
      <c r="C53" s="88"/>
      <c r="D53" s="88"/>
      <c r="E53" s="88"/>
      <c r="F53" s="88"/>
      <c r="G53" s="88"/>
      <c r="H53" s="88"/>
      <c r="I53" s="88"/>
      <c r="J53" s="88"/>
      <c r="K53" s="88"/>
      <c r="L53" s="88"/>
      <c r="M53" s="88"/>
      <c r="N53" s="88"/>
      <c r="O53" s="88"/>
      <c r="P53" s="88"/>
    </row>
    <row r="54" spans="1:16" ht="13.8">
      <c r="A54" s="88"/>
      <c r="B54" s="88"/>
      <c r="C54" s="88"/>
      <c r="D54" s="88"/>
      <c r="E54" s="88"/>
      <c r="F54" s="88"/>
      <c r="G54" s="88"/>
      <c r="H54" s="88"/>
      <c r="I54" s="88"/>
      <c r="J54" s="88"/>
      <c r="K54" s="88"/>
      <c r="L54" s="88"/>
      <c r="M54" s="88"/>
      <c r="N54" s="88"/>
      <c r="O54" s="88"/>
      <c r="P54" s="88"/>
    </row>
    <row r="55" spans="1:16" ht="13.8">
      <c r="A55" s="88"/>
      <c r="B55" s="88"/>
      <c r="C55" s="88"/>
      <c r="D55" s="88"/>
      <c r="E55" s="88"/>
      <c r="F55" s="88"/>
      <c r="G55" s="88"/>
      <c r="H55" s="88"/>
      <c r="I55" s="88"/>
      <c r="J55" s="88"/>
      <c r="K55" s="88"/>
      <c r="L55" s="88"/>
      <c r="M55" s="88"/>
      <c r="N55" s="88"/>
      <c r="O55" s="88"/>
      <c r="P55" s="88"/>
    </row>
    <row r="56" spans="1:16" ht="13.8">
      <c r="A56" s="88"/>
      <c r="B56" s="88"/>
      <c r="C56" s="88"/>
      <c r="D56" s="88"/>
      <c r="E56" s="88"/>
      <c r="F56" s="88"/>
      <c r="G56" s="88"/>
      <c r="H56" s="88"/>
      <c r="I56" s="88"/>
      <c r="J56" s="88"/>
      <c r="K56" s="88"/>
      <c r="L56" s="88"/>
      <c r="M56" s="88"/>
      <c r="N56" s="88"/>
      <c r="O56" s="88"/>
      <c r="P56" s="88"/>
    </row>
    <row r="57" spans="1:16" ht="13.8">
      <c r="A57" s="88"/>
      <c r="B57" s="88"/>
      <c r="C57" s="88"/>
      <c r="D57" s="88"/>
      <c r="E57" s="88"/>
      <c r="F57" s="88"/>
      <c r="G57" s="88"/>
      <c r="H57" s="88"/>
      <c r="I57" s="88"/>
      <c r="J57" s="88"/>
      <c r="K57" s="88"/>
      <c r="L57" s="88"/>
      <c r="M57" s="88"/>
      <c r="N57" s="88"/>
      <c r="O57" s="88"/>
      <c r="P57" s="88"/>
    </row>
    <row r="58" spans="1:16" ht="13.8">
      <c r="A58" s="88"/>
      <c r="B58" s="88"/>
      <c r="C58" s="88"/>
      <c r="D58" s="88"/>
      <c r="E58" s="88"/>
      <c r="F58" s="88"/>
      <c r="G58" s="88"/>
      <c r="H58" s="88"/>
      <c r="I58" s="88"/>
      <c r="J58" s="88"/>
      <c r="K58" s="88"/>
      <c r="L58" s="88"/>
      <c r="M58" s="88"/>
      <c r="N58" s="88"/>
      <c r="O58" s="88"/>
      <c r="P58" s="88"/>
    </row>
    <row r="59" spans="1:16" ht="13.8">
      <c r="A59" s="88"/>
      <c r="B59" s="88"/>
      <c r="C59" s="88"/>
      <c r="D59" s="88"/>
      <c r="E59" s="88"/>
      <c r="F59" s="88"/>
      <c r="G59" s="88"/>
      <c r="H59" s="88"/>
      <c r="I59" s="88"/>
      <c r="J59" s="88"/>
      <c r="K59" s="88"/>
      <c r="L59" s="88"/>
      <c r="M59" s="88"/>
      <c r="N59" s="88"/>
      <c r="O59" s="88"/>
      <c r="P59" s="88"/>
    </row>
    <row r="60" spans="1:16" ht="13.8">
      <c r="A60" s="88"/>
      <c r="B60" s="88"/>
      <c r="C60" s="88"/>
      <c r="D60" s="88"/>
      <c r="E60" s="88"/>
      <c r="F60" s="88"/>
      <c r="G60" s="88"/>
      <c r="H60" s="88"/>
      <c r="I60" s="88"/>
      <c r="J60" s="88"/>
      <c r="K60" s="88"/>
      <c r="L60" s="88"/>
      <c r="M60" s="88"/>
      <c r="N60" s="88"/>
      <c r="O60" s="88"/>
      <c r="P60" s="88"/>
    </row>
    <row r="61" spans="1:16" ht="13.8">
      <c r="A61" s="88"/>
      <c r="B61" s="88"/>
      <c r="C61" s="88"/>
      <c r="D61" s="88"/>
      <c r="E61" s="88"/>
      <c r="F61" s="88"/>
      <c r="G61" s="88"/>
      <c r="H61" s="88"/>
      <c r="I61" s="88"/>
      <c r="J61" s="88"/>
      <c r="K61" s="88"/>
      <c r="L61" s="88"/>
      <c r="M61" s="88"/>
      <c r="N61" s="88"/>
      <c r="O61" s="88"/>
      <c r="P61" s="88"/>
    </row>
  </sheetData>
  <mergeCells count="3">
    <mergeCell ref="B2:F2"/>
    <mergeCell ref="B3:F3"/>
    <mergeCell ref="B4:F4"/>
  </mergeCells>
  <dataValidations count="2">
    <dataValidation type="list" allowBlank="1" showErrorMessage="1" sqref="H2:H3 H9 N2:N3 K30:K137 K2:K3 K9 N9 N30:N137 H30:H137" xr:uid="{98ADECFC-2176-4A50-8E3A-5FD36DE6515E}">
      <formula1>$S$2:$S$5</formula1>
      <formula2>0</formula2>
    </dataValidation>
    <dataValidation allowBlank="1" showErrorMessage="1" sqref="G10 J10 M10" xr:uid="{FEE327B1-E10B-4F49-B81E-39F84ECCDD3E}"/>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tabSelected="1" workbookViewId="0">
      <selection activeCell="F14" sqref="F14"/>
    </sheetView>
  </sheetViews>
  <sheetFormatPr defaultColWidth="9" defaultRowHeight="13.2"/>
  <cols>
    <col min="1" max="1" width="4.44140625" style="1" customWidth="1"/>
    <col min="2" max="2" width="18.44140625" style="1" customWidth="1"/>
    <col min="3" max="3" width="24.33203125" style="1" customWidth="1"/>
    <col min="4" max="6" width="11.5546875" style="1" customWidth="1"/>
    <col min="7" max="7" width="9" style="1"/>
    <col min="8" max="8" width="35.44140625" style="1" customWidth="1"/>
    <col min="9" max="9" width="33.109375" style="1" customWidth="1"/>
    <col min="10" max="16384" width="9" style="1"/>
  </cols>
  <sheetData>
    <row r="1" spans="1:8" ht="25.5" customHeight="1">
      <c r="B1" s="180" t="s">
        <v>26</v>
      </c>
      <c r="C1" s="180"/>
      <c r="D1" s="180"/>
      <c r="E1" s="180"/>
      <c r="F1" s="180"/>
      <c r="G1" s="180"/>
      <c r="H1" s="180"/>
    </row>
    <row r="2" spans="1:8" ht="14.25" customHeight="1">
      <c r="A2" s="34"/>
      <c r="B2" s="34"/>
      <c r="C2" s="35"/>
      <c r="D2" s="35"/>
      <c r="E2" s="35"/>
      <c r="F2" s="35"/>
      <c r="G2" s="35"/>
      <c r="H2" s="36"/>
    </row>
    <row r="3" spans="1:8" ht="12" customHeight="1">
      <c r="B3" s="2" t="s">
        <v>1</v>
      </c>
      <c r="C3" s="170" t="str">
        <f>Cover!B4</f>
        <v>Hệ thống giám sát an toàn công trường</v>
      </c>
      <c r="D3" s="170"/>
      <c r="E3" s="177" t="s">
        <v>3</v>
      </c>
      <c r="F3" s="177"/>
      <c r="G3" s="37"/>
      <c r="H3" s="38" t="str">
        <f>Cover!F4</f>
        <v>102220275_Lưu Võ Hoàng</v>
      </c>
    </row>
    <row r="4" spans="1:8" ht="28.5" customHeight="1">
      <c r="B4" s="2" t="s">
        <v>4</v>
      </c>
      <c r="C4" s="181" t="str">
        <f>Cover!B5</f>
        <v>PBL6</v>
      </c>
      <c r="D4" s="181"/>
      <c r="E4" s="182" t="s">
        <v>27</v>
      </c>
      <c r="F4" s="182"/>
      <c r="G4" s="37"/>
      <c r="H4" s="82" t="s">
        <v>72</v>
      </c>
    </row>
    <row r="5" spans="1:8" ht="12" customHeight="1">
      <c r="B5" s="39" t="s">
        <v>8</v>
      </c>
      <c r="C5" s="170" t="str">
        <f>C4&amp;"_"&amp;"Test Report"&amp;"_"&amp;"vx.x"</f>
        <v>PBL6_Test Report_vx.x</v>
      </c>
      <c r="D5" s="170"/>
      <c r="E5" s="177" t="s">
        <v>6</v>
      </c>
      <c r="F5" s="177"/>
      <c r="G5" s="37"/>
      <c r="H5" s="40" t="str">
        <f>Cover!F5</f>
        <v>20/09/2025</v>
      </c>
    </row>
    <row r="6" spans="1:8" ht="21" customHeight="1">
      <c r="A6" s="34"/>
      <c r="B6" s="39" t="s">
        <v>28</v>
      </c>
      <c r="C6" s="178" t="s">
        <v>83</v>
      </c>
      <c r="D6" s="179"/>
      <c r="E6" s="179"/>
      <c r="F6" s="179"/>
      <c r="G6" s="179"/>
      <c r="H6" s="179"/>
    </row>
    <row r="7" spans="1:8" ht="14.25" customHeight="1">
      <c r="A7" s="34"/>
      <c r="B7" s="41"/>
      <c r="C7" s="42"/>
      <c r="D7" s="35"/>
      <c r="E7" s="35"/>
      <c r="F7" s="35"/>
      <c r="G7" s="35"/>
      <c r="H7" s="36"/>
    </row>
    <row r="8" spans="1:8">
      <c r="B8" s="41"/>
      <c r="C8" s="42"/>
      <c r="D8" s="35"/>
      <c r="E8" s="35"/>
      <c r="F8" s="35"/>
      <c r="G8" s="35"/>
      <c r="H8" s="36"/>
    </row>
    <row r="10" spans="1:8">
      <c r="A10" s="43"/>
      <c r="B10" s="149" t="s">
        <v>20</v>
      </c>
      <c r="C10" s="150" t="s">
        <v>29</v>
      </c>
      <c r="D10" s="151" t="s">
        <v>30</v>
      </c>
      <c r="E10" s="150" t="s">
        <v>31</v>
      </c>
      <c r="F10" s="150" t="s">
        <v>32</v>
      </c>
      <c r="G10" s="152" t="s">
        <v>33</v>
      </c>
      <c r="H10" s="153" t="s">
        <v>34</v>
      </c>
    </row>
    <row r="11" spans="1:8">
      <c r="A11" s="43"/>
      <c r="B11" s="154">
        <v>1</v>
      </c>
      <c r="C11" s="115" t="str">
        <f>CreateUser!B2</f>
        <v>CreateUser</v>
      </c>
      <c r="D11" s="154">
        <f>SUM(CreateUser!B6)</f>
        <v>0</v>
      </c>
      <c r="E11" s="154">
        <f>SUM(CreateUser!C6)</f>
        <v>0</v>
      </c>
      <c r="F11" s="154">
        <v>0</v>
      </c>
      <c r="G11" s="154">
        <v>0</v>
      </c>
      <c r="H11" s="154">
        <f>CreateUser!B4</f>
        <v>3</v>
      </c>
    </row>
    <row r="12" spans="1:8">
      <c r="A12" s="43"/>
      <c r="B12" s="154">
        <v>2</v>
      </c>
      <c r="C12" s="115" t="str">
        <f>UpdateUser!B2</f>
        <v>UpdateUser</v>
      </c>
      <c r="D12" s="154">
        <f>SUM(UpdateUser!B6)</f>
        <v>0</v>
      </c>
      <c r="E12" s="154">
        <f>SUM(UpdateUser!C6)</f>
        <v>0</v>
      </c>
      <c r="F12" s="154">
        <v>0</v>
      </c>
      <c r="G12" s="154">
        <v>0</v>
      </c>
      <c r="H12" s="154">
        <f>UpdateUser!B4</f>
        <v>3</v>
      </c>
    </row>
    <row r="13" spans="1:8">
      <c r="A13" s="43"/>
      <c r="B13" s="154">
        <v>3</v>
      </c>
      <c r="C13" s="115" t="str">
        <f>DeleteUser!B2</f>
        <v>DeleteUser</v>
      </c>
      <c r="D13" s="154">
        <f>SUM(DeleteUser!B6)</f>
        <v>0</v>
      </c>
      <c r="E13" s="154">
        <f>SUM(DeleteUser!C6)</f>
        <v>0</v>
      </c>
      <c r="F13" s="154">
        <v>0</v>
      </c>
      <c r="G13" s="154">
        <v>0</v>
      </c>
      <c r="H13" s="154">
        <f>DeleteUser!B4</f>
        <v>1</v>
      </c>
    </row>
    <row r="14" spans="1:8">
      <c r="A14" s="43"/>
      <c r="B14" s="154">
        <v>4</v>
      </c>
      <c r="C14" s="115" t="str">
        <f>GetMyInfo!B2</f>
        <v>GetMyInfo</v>
      </c>
      <c r="D14" s="154">
        <f>SUM(GetMyInfo!B6)</f>
        <v>0</v>
      </c>
      <c r="E14" s="154">
        <f>SUM(GetMyInfo!C6)</f>
        <v>0</v>
      </c>
      <c r="F14" s="154">
        <v>0</v>
      </c>
      <c r="G14" s="154">
        <v>0</v>
      </c>
      <c r="H14" s="154">
        <f>GetMyInfo!B4</f>
        <v>2</v>
      </c>
    </row>
    <row r="15" spans="1:8">
      <c r="A15" s="43"/>
      <c r="B15" s="154">
        <v>5</v>
      </c>
      <c r="C15" s="115" t="str">
        <f>GetUser!B2</f>
        <v>GetUser</v>
      </c>
      <c r="D15" s="154">
        <f>SUM(GetUser!B6)</f>
        <v>0</v>
      </c>
      <c r="E15" s="154">
        <f>SUM(GetUser!C6)</f>
        <v>0</v>
      </c>
      <c r="F15" s="154">
        <v>0</v>
      </c>
      <c r="G15" s="154">
        <v>0</v>
      </c>
      <c r="H15" s="154">
        <f>GetUser!B4</f>
        <v>5</v>
      </c>
    </row>
    <row r="16" spans="1:8">
      <c r="B16" s="155"/>
      <c r="C16" s="156" t="s">
        <v>35</v>
      </c>
      <c r="D16" s="157">
        <f>SUM(D11:D15)</f>
        <v>0</v>
      </c>
      <c r="E16" s="157">
        <f t="shared" ref="E16:H16" si="0">SUM(E11:E15)</f>
        <v>0</v>
      </c>
      <c r="F16" s="157">
        <f t="shared" si="0"/>
        <v>0</v>
      </c>
      <c r="G16" s="157">
        <f t="shared" si="0"/>
        <v>0</v>
      </c>
      <c r="H16" s="157">
        <f t="shared" si="0"/>
        <v>14</v>
      </c>
    </row>
    <row r="17" spans="2:8" s="158" customFormat="1">
      <c r="B17" s="159"/>
      <c r="C17" s="160"/>
      <c r="D17" s="159"/>
      <c r="E17" s="159"/>
      <c r="F17" s="159"/>
      <c r="G17" s="159"/>
      <c r="H17" s="159"/>
    </row>
    <row r="18" spans="2:8">
      <c r="C18" s="44" t="s">
        <v>36</v>
      </c>
      <c r="E18" s="45">
        <f>(D16+E16)*100/(H16-G16)</f>
        <v>0</v>
      </c>
      <c r="F18" s="1" t="s">
        <v>37</v>
      </c>
      <c r="H18" s="20"/>
    </row>
    <row r="19" spans="2:8">
      <c r="C19" s="44" t="s">
        <v>38</v>
      </c>
      <c r="E19" s="45">
        <f>D16*100/(H16-G16)</f>
        <v>0</v>
      </c>
      <c r="F19" s="1" t="s">
        <v>37</v>
      </c>
      <c r="H19" s="20"/>
    </row>
  </sheetData>
  <mergeCells count="8">
    <mergeCell ref="C5:D5"/>
    <mergeCell ref="E5:F5"/>
    <mergeCell ref="C6:H6"/>
    <mergeCell ref="B1:H1"/>
    <mergeCell ref="C3:D3"/>
    <mergeCell ref="E3:F3"/>
    <mergeCell ref="C4:D4"/>
    <mergeCell ref="E4:F4"/>
  </mergeCells>
  <phoneticPr fontId="0" type="noConversion"/>
  <pageMargins left="0.74791666666666667" right="0.74791666666666667" top="0.98402777777777783" bottom="0.98402777777777772" header="0.51180555555555562" footer="0.5"/>
  <pageSetup firstPageNumber="0" orientation="landscape" horizontalDpi="300" verticalDpi="300" r:id="rId1"/>
  <headerFooter alignWithMargins="0">
    <oddFooter>&amp;L&amp;"Tahoma,Regular"&amp;8 02ae-BM/PM/HDCV/FSOFT v2/0&amp;C&amp;"tahoma,Regular"&amp;8Internal use&amp;R&amp;"Tahoma,Regular"&amp;8&amp;P/&amp;N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ECAEA-881C-4C8B-9BF3-40B8364491D3}">
  <sheetPr>
    <outlinePr summaryBelow="0" summaryRight="0"/>
  </sheetPr>
  <dimension ref="A1:R17"/>
  <sheetViews>
    <sheetView zoomScale="85" zoomScaleNormal="85" workbookViewId="0">
      <pane ySplit="10" topLeftCell="A11" activePane="bottomLeft" state="frozen"/>
      <selection pane="bottomLeft" activeCell="C26" sqref="C26"/>
    </sheetView>
  </sheetViews>
  <sheetFormatPr defaultColWidth="9" defaultRowHeight="13.2" outlineLevelRow="1" outlineLevelCol="1"/>
  <cols>
    <col min="1" max="1" width="17" style="1" customWidth="1"/>
    <col min="2" max="2" width="34.44140625" style="1" customWidth="1"/>
    <col min="3" max="3" width="33.44140625" style="1" customWidth="1"/>
    <col min="4" max="4" width="34.5546875" style="1" customWidth="1"/>
    <col min="5" max="5" width="28.44140625" style="1" customWidth="1"/>
    <col min="6" max="6" width="9.44140625" style="1" customWidth="1"/>
    <col min="7" max="7" width="10.5546875" style="1" customWidth="1" outlineLevel="1"/>
    <col min="8" max="8" width="7" style="1" bestFit="1" customWidth="1" outlineLevel="1"/>
    <col min="9" max="9" width="9.44140625" style="1" customWidth="1"/>
    <col min="10" max="10" width="10.5546875" style="1" customWidth="1" outlineLevel="1"/>
    <col min="11" max="11" width="7" style="1" bestFit="1" customWidth="1" outlineLevel="1"/>
    <col min="12" max="12" width="9.44140625" style="1" customWidth="1"/>
    <col min="13" max="13" width="10.5546875" style="1" customWidth="1" outlineLevel="1"/>
    <col min="14" max="14" width="7" style="1" bestFit="1" customWidth="1" outlineLevel="1"/>
    <col min="15" max="15" width="28.5546875" style="1" customWidth="1"/>
    <col min="16" max="16" width="10.109375" style="1" customWidth="1"/>
    <col min="17" max="17" width="8.109375" style="15" customWidth="1"/>
    <col min="18" max="18" width="7.5546875" style="1" hidden="1" customWidth="1"/>
    <col min="19" max="16384" width="9" style="1"/>
  </cols>
  <sheetData>
    <row r="1" spans="1:18" ht="13.8" thickBot="1"/>
    <row r="2" spans="1:18" s="17" customFormat="1" ht="15" customHeight="1">
      <c r="A2" s="62" t="s">
        <v>39</v>
      </c>
      <c r="B2" s="171" t="s">
        <v>54</v>
      </c>
      <c r="C2" s="171"/>
      <c r="D2" s="171"/>
      <c r="E2" s="172"/>
      <c r="F2" s="52"/>
      <c r="G2" s="46"/>
      <c r="H2" s="9"/>
      <c r="I2" s="52"/>
      <c r="J2" s="46"/>
      <c r="K2" s="9"/>
      <c r="L2" s="52"/>
      <c r="M2" s="46"/>
      <c r="N2" s="9"/>
      <c r="O2" s="9"/>
      <c r="P2" s="9"/>
      <c r="Q2" s="16"/>
      <c r="R2" s="17" t="s">
        <v>30</v>
      </c>
    </row>
    <row r="3" spans="1:18" s="17" customFormat="1" ht="26.4">
      <c r="A3" s="63" t="s">
        <v>40</v>
      </c>
      <c r="B3" s="173" t="s">
        <v>55</v>
      </c>
      <c r="C3" s="173"/>
      <c r="D3" s="173"/>
      <c r="E3" s="174"/>
      <c r="F3" s="52"/>
      <c r="G3" s="46"/>
      <c r="H3" s="9"/>
      <c r="I3" s="52"/>
      <c r="J3" s="46"/>
      <c r="K3" s="9"/>
      <c r="L3" s="52"/>
      <c r="M3" s="46"/>
      <c r="N3" s="9"/>
      <c r="O3" s="9"/>
      <c r="P3" s="9"/>
      <c r="Q3" s="16"/>
      <c r="R3" s="17" t="s">
        <v>31</v>
      </c>
    </row>
    <row r="4" spans="1:18" s="17" customFormat="1" ht="18" customHeight="1">
      <c r="A4" s="63" t="s">
        <v>41</v>
      </c>
      <c r="B4" s="173">
        <f>COUNTA(A12:A998)</f>
        <v>6</v>
      </c>
      <c r="C4" s="173"/>
      <c r="D4" s="173"/>
      <c r="E4" s="174"/>
      <c r="F4" s="52"/>
      <c r="G4" s="46"/>
      <c r="H4" s="9"/>
      <c r="I4" s="52"/>
      <c r="J4" s="46"/>
      <c r="K4" s="9"/>
      <c r="L4" s="52"/>
      <c r="M4" s="46"/>
      <c r="N4" s="9"/>
      <c r="O4" s="9"/>
      <c r="P4" s="9"/>
      <c r="Q4" s="16"/>
      <c r="R4" s="17" t="s">
        <v>32</v>
      </c>
    </row>
    <row r="5" spans="1:18" s="17" customFormat="1" ht="19.5" customHeight="1">
      <c r="A5" s="56" t="s">
        <v>42</v>
      </c>
      <c r="B5" s="54" t="s">
        <v>30</v>
      </c>
      <c r="C5" s="54" t="s">
        <v>31</v>
      </c>
      <c r="D5" s="54" t="s">
        <v>32</v>
      </c>
      <c r="E5" s="57" t="s">
        <v>33</v>
      </c>
      <c r="F5" s="47"/>
      <c r="G5" s="47"/>
      <c r="H5" s="18"/>
      <c r="I5" s="47"/>
      <c r="J5" s="47"/>
      <c r="K5" s="18"/>
      <c r="L5" s="47"/>
      <c r="M5" s="47"/>
      <c r="N5" s="18"/>
      <c r="O5" s="18"/>
      <c r="P5" s="18"/>
      <c r="Q5" s="19"/>
      <c r="R5" s="17" t="s">
        <v>33</v>
      </c>
    </row>
    <row r="6" spans="1:18" s="17" customFormat="1" ht="15" customHeight="1">
      <c r="A6" s="56" t="s">
        <v>43</v>
      </c>
      <c r="B6" s="55">
        <f>COUNTIF($F10:$F996,B5)</f>
        <v>0</v>
      </c>
      <c r="C6" s="55">
        <f>COUNTIF($F10:$F996,C5)</f>
        <v>0</v>
      </c>
      <c r="D6" s="55">
        <f>COUNTIF($F10:$F996,D5)</f>
        <v>5</v>
      </c>
      <c r="E6" s="61">
        <f>COUNTIF($F10:$F996,E5)</f>
        <v>0</v>
      </c>
      <c r="F6" s="48"/>
      <c r="G6" s="48"/>
      <c r="H6" s="18"/>
      <c r="I6" s="48"/>
      <c r="J6" s="48"/>
      <c r="K6" s="18"/>
      <c r="L6" s="48"/>
      <c r="M6" s="48"/>
      <c r="N6" s="18"/>
      <c r="O6" s="18"/>
      <c r="P6" s="18"/>
      <c r="Q6" s="19"/>
    </row>
    <row r="7" spans="1:18" s="17" customFormat="1" ht="15" customHeight="1">
      <c r="A7" s="56" t="s">
        <v>44</v>
      </c>
      <c r="B7" s="55">
        <f>COUNTIF($F10:$F996,B5)</f>
        <v>0</v>
      </c>
      <c r="C7" s="55">
        <f>COUNTIF($F10:$F996,C5)</f>
        <v>0</v>
      </c>
      <c r="D7" s="55">
        <f>COUNTIF($F10:$F996,D5)</f>
        <v>5</v>
      </c>
      <c r="E7" s="61">
        <f>COUNTIF($F10:$F996,E5)</f>
        <v>0</v>
      </c>
      <c r="F7" s="48"/>
      <c r="G7" s="48"/>
      <c r="H7" s="18"/>
      <c r="I7" s="48"/>
      <c r="J7" s="48"/>
      <c r="K7" s="18"/>
      <c r="L7" s="48"/>
      <c r="M7" s="48"/>
      <c r="N7" s="18"/>
      <c r="O7" s="18"/>
      <c r="P7" s="18"/>
      <c r="Q7" s="19"/>
    </row>
    <row r="8" spans="1:18" s="17" customFormat="1" ht="15" customHeight="1" thickBot="1">
      <c r="A8" s="58" t="s">
        <v>45</v>
      </c>
      <c r="B8" s="59">
        <f>COUNTIF($F10:$F996,B5)</f>
        <v>0</v>
      </c>
      <c r="C8" s="59">
        <f>COUNTIF($F10:$F996,C5)</f>
        <v>0</v>
      </c>
      <c r="D8" s="59">
        <f>COUNTIF($F10:$F996,D5)</f>
        <v>5</v>
      </c>
      <c r="E8" s="60">
        <f>COUNTIF($F10:$F996,E5)</f>
        <v>0</v>
      </c>
      <c r="F8" s="48"/>
      <c r="G8" s="48"/>
      <c r="H8" s="18"/>
      <c r="I8" s="48"/>
      <c r="J8" s="48"/>
      <c r="K8" s="18"/>
      <c r="L8" s="48"/>
      <c r="M8" s="48"/>
      <c r="N8" s="18"/>
      <c r="O8" s="18"/>
      <c r="P8" s="18"/>
      <c r="Q8" s="19"/>
    </row>
    <row r="9" spans="1:18" s="17" customFormat="1" ht="15" customHeight="1">
      <c r="A9" s="18"/>
      <c r="B9" s="18"/>
      <c r="C9" s="18"/>
      <c r="D9" s="18"/>
      <c r="E9" s="18"/>
      <c r="F9" s="20"/>
      <c r="G9" s="18"/>
      <c r="H9" s="18"/>
      <c r="I9" s="20"/>
      <c r="J9" s="18"/>
      <c r="K9" s="18"/>
      <c r="L9" s="20"/>
      <c r="M9" s="18"/>
      <c r="N9" s="18"/>
      <c r="O9" s="18"/>
      <c r="P9" s="18"/>
      <c r="Q9" s="19"/>
    </row>
    <row r="10" spans="1:18" s="17" customFormat="1" ht="25.5" customHeight="1">
      <c r="A10" s="53" t="s">
        <v>46</v>
      </c>
      <c r="B10" s="53" t="s">
        <v>47</v>
      </c>
      <c r="C10" s="53" t="s">
        <v>48</v>
      </c>
      <c r="D10" s="53" t="s">
        <v>49</v>
      </c>
      <c r="E10" s="53" t="s">
        <v>50</v>
      </c>
      <c r="F10" s="53" t="s">
        <v>43</v>
      </c>
      <c r="G10" s="53" t="s">
        <v>51</v>
      </c>
      <c r="H10" s="53" t="s">
        <v>52</v>
      </c>
      <c r="I10" s="53" t="s">
        <v>44</v>
      </c>
      <c r="J10" s="53" t="s">
        <v>51</v>
      </c>
      <c r="K10" s="53" t="s">
        <v>52</v>
      </c>
      <c r="L10" s="53" t="s">
        <v>45</v>
      </c>
      <c r="M10" s="53" t="s">
        <v>51</v>
      </c>
      <c r="N10" s="53" t="s">
        <v>52</v>
      </c>
      <c r="O10" s="53" t="s">
        <v>53</v>
      </c>
      <c r="Q10" s="21"/>
    </row>
    <row r="11" spans="1:18" s="17" customFormat="1" ht="15.75" customHeight="1">
      <c r="A11" s="49" t="s">
        <v>56</v>
      </c>
      <c r="B11" s="49"/>
      <c r="C11" s="50"/>
      <c r="D11" s="50"/>
      <c r="E11" s="50"/>
      <c r="F11" s="50"/>
      <c r="G11" s="50"/>
      <c r="H11" s="50"/>
      <c r="I11" s="50"/>
      <c r="J11" s="50"/>
      <c r="K11" s="50"/>
      <c r="L11" s="50"/>
      <c r="M11" s="50"/>
      <c r="N11" s="50"/>
      <c r="O11" s="51"/>
      <c r="Q11" s="25"/>
    </row>
    <row r="12" spans="1:18" s="31" customFormat="1" ht="121.2" customHeight="1" outlineLevel="1">
      <c r="A12" s="26" t="s">
        <v>57</v>
      </c>
      <c r="B12" s="27" t="s">
        <v>58</v>
      </c>
      <c r="C12" s="27" t="s">
        <v>59</v>
      </c>
      <c r="D12" s="28" t="s">
        <v>60</v>
      </c>
      <c r="E12" s="28" t="s">
        <v>61</v>
      </c>
      <c r="F12" s="26" t="s">
        <v>32</v>
      </c>
      <c r="G12" s="26"/>
      <c r="H12" s="26"/>
      <c r="I12" s="26" t="s">
        <v>32</v>
      </c>
      <c r="J12" s="26"/>
      <c r="K12" s="26"/>
      <c r="L12" s="26" t="s">
        <v>32</v>
      </c>
      <c r="M12" s="26"/>
      <c r="N12" s="26"/>
      <c r="O12" s="29"/>
      <c r="Q12" s="30"/>
    </row>
    <row r="13" spans="1:18" outlineLevel="1">
      <c r="A13" s="26" t="s">
        <v>62</v>
      </c>
      <c r="B13" s="26" t="s">
        <v>63</v>
      </c>
      <c r="C13" s="26"/>
      <c r="D13" s="32"/>
      <c r="E13" s="32"/>
      <c r="F13" s="26" t="s">
        <v>32</v>
      </c>
      <c r="G13" s="26"/>
      <c r="H13" s="26"/>
      <c r="I13" s="26" t="s">
        <v>32</v>
      </c>
      <c r="J13" s="26"/>
      <c r="K13" s="26"/>
      <c r="L13" s="26" t="s">
        <v>32</v>
      </c>
      <c r="M13" s="26"/>
      <c r="N13" s="26"/>
      <c r="O13" s="29"/>
      <c r="Q13" s="30"/>
    </row>
    <row r="14" spans="1:18" outlineLevel="1">
      <c r="A14" s="26" t="s">
        <v>64</v>
      </c>
      <c r="B14" s="26" t="s">
        <v>65</v>
      </c>
      <c r="C14" s="26"/>
      <c r="D14" s="32"/>
      <c r="E14" s="32"/>
      <c r="F14" s="26" t="s">
        <v>32</v>
      </c>
      <c r="G14" s="26"/>
      <c r="H14" s="26"/>
      <c r="I14" s="26" t="s">
        <v>32</v>
      </c>
      <c r="J14" s="26"/>
      <c r="K14" s="26"/>
      <c r="L14" s="26" t="s">
        <v>32</v>
      </c>
      <c r="M14" s="26"/>
      <c r="N14" s="26"/>
      <c r="O14" s="29"/>
      <c r="Q14" s="30"/>
    </row>
    <row r="15" spans="1:18" s="17" customFormat="1" ht="15.75" customHeight="1">
      <c r="A15" s="49" t="s">
        <v>66</v>
      </c>
      <c r="B15" s="22"/>
      <c r="C15" s="23"/>
      <c r="D15" s="23"/>
      <c r="E15" s="23"/>
      <c r="F15" s="23"/>
      <c r="G15" s="23"/>
      <c r="H15" s="23"/>
      <c r="I15" s="23"/>
      <c r="J15" s="23"/>
      <c r="K15" s="23"/>
      <c r="L15" s="23"/>
      <c r="M15" s="23"/>
      <c r="N15" s="23"/>
      <c r="O15" s="24"/>
      <c r="Q15" s="25"/>
    </row>
    <row r="16" spans="1:18" outlineLevel="1">
      <c r="A16" s="26" t="s">
        <v>67</v>
      </c>
      <c r="B16" s="26" t="s">
        <v>68</v>
      </c>
      <c r="C16" s="26"/>
      <c r="D16" s="26"/>
      <c r="E16" s="26"/>
      <c r="F16" s="26" t="s">
        <v>32</v>
      </c>
      <c r="G16" s="26"/>
      <c r="H16" s="26"/>
      <c r="I16" s="26" t="s">
        <v>32</v>
      </c>
      <c r="J16" s="26"/>
      <c r="K16" s="26"/>
      <c r="L16" s="26" t="s">
        <v>32</v>
      </c>
      <c r="M16" s="26"/>
      <c r="N16" s="26"/>
      <c r="O16" s="29"/>
      <c r="Q16" s="30"/>
    </row>
    <row r="17" spans="1:15" outlineLevel="1">
      <c r="A17" s="26" t="s">
        <v>69</v>
      </c>
      <c r="B17" s="26" t="s">
        <v>70</v>
      </c>
      <c r="C17" s="26"/>
      <c r="D17" s="26"/>
      <c r="E17" s="26"/>
      <c r="F17" s="26" t="s">
        <v>32</v>
      </c>
      <c r="G17" s="33"/>
      <c r="H17" s="33"/>
      <c r="I17" s="26" t="s">
        <v>32</v>
      </c>
      <c r="J17" s="33"/>
      <c r="K17" s="33"/>
      <c r="L17" s="26" t="s">
        <v>32</v>
      </c>
      <c r="M17" s="33"/>
      <c r="N17" s="33"/>
      <c r="O17" s="33"/>
    </row>
  </sheetData>
  <mergeCells count="3">
    <mergeCell ref="B2:E2"/>
    <mergeCell ref="B3:E3"/>
    <mergeCell ref="B4:E4"/>
  </mergeCells>
  <dataValidations count="2">
    <dataValidation type="list" allowBlank="1" showErrorMessage="1" sqref="G2:G3 G9 G18:G145 I12:I17 J2:J3 J9 J18:J145 F12:F17 M2:M3 M9 M18:M145 L12:L17" xr:uid="{391B3501-76F4-43F3-9581-89B39B81AC0D}">
      <formula1>$R$2:$R$5</formula1>
      <formula2>0</formula2>
    </dataValidation>
    <dataValidation allowBlank="1" showErrorMessage="1" sqref="F10 I10 L10" xr:uid="{AC9E8B2C-3630-440E-BE58-ECCF42EC5C61}"/>
  </dataValidations>
  <pageMargins left="0.74791666666666667" right="0.25" top="0.75" bottom="0.98402777777777772" header="0.5" footer="0.5"/>
  <pageSetup paperSize="9" firstPageNumber="0" orientation="landscape" horizontalDpi="300" verticalDpi="300" r:id="rId1"/>
  <headerFooter alignWithMargins="0">
    <oddHeader>&amp;LFacilitate_Test Case\Company&amp;Rv1.0</oddHeader>
    <oddFooter>&amp;L&amp;"Tahoma,Regular"&amp;8 02ae-BM/PM/HDCV/FSOFT v2/0&amp;C&amp;"Tahoma,Regular"&amp;10Internal use&amp;R&amp;"Tahoma,Regular"&amp;8&amp;P/&amp;N</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ferenceId xmlns="4e6b4ca0-b3e9-4ac7-86f3-d5dbfa885a8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906AAE22E7B8A4AAA8941ED7F663AA3" ma:contentTypeVersion="1" ma:contentTypeDescription="Create a new document." ma:contentTypeScope="" ma:versionID="f48a65dd6599cf5af3827ec3e724d9eb">
  <xsd:schema xmlns:xsd="http://www.w3.org/2001/XMLSchema" xmlns:xs="http://www.w3.org/2001/XMLSchema" xmlns:p="http://schemas.microsoft.com/office/2006/metadata/properties" xmlns:ns2="4e6b4ca0-b3e9-4ac7-86f3-d5dbfa885a85" targetNamespace="http://schemas.microsoft.com/office/2006/metadata/properties" ma:root="true" ma:fieldsID="a4dc366cd5498e7dba345133231cd59a" ns2:_="">
    <xsd:import namespace="4e6b4ca0-b3e9-4ac7-86f3-d5dbfa885a85"/>
    <xsd:element name="properties">
      <xsd:complexType>
        <xsd:sequence>
          <xsd:element name="documentManagement">
            <xsd:complexType>
              <xsd:all>
                <xsd:element ref="ns2:Reference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6b4ca0-b3e9-4ac7-86f3-d5dbfa885a85"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9A7279-B2D9-4AB4-97E0-9ADE3C4A1352}">
  <ds:schemaRefs>
    <ds:schemaRef ds:uri="http://schemas.microsoft.com/office/2006/metadata/properties"/>
    <ds:schemaRef ds:uri="http://schemas.microsoft.com/office/infopath/2007/PartnerControls"/>
    <ds:schemaRef ds:uri="4e6b4ca0-b3e9-4ac7-86f3-d5dbfa885a85"/>
  </ds:schemaRefs>
</ds:datastoreItem>
</file>

<file path=customXml/itemProps2.xml><?xml version="1.0" encoding="utf-8"?>
<ds:datastoreItem xmlns:ds="http://schemas.openxmlformats.org/officeDocument/2006/customXml" ds:itemID="{2E0833ED-E49E-411A-822D-3515E6569111}">
  <ds:schemaRefs>
    <ds:schemaRef ds:uri="http://schemas.microsoft.com/sharepoint/v3/contenttype/forms"/>
  </ds:schemaRefs>
</ds:datastoreItem>
</file>

<file path=customXml/itemProps3.xml><?xml version="1.0" encoding="utf-8"?>
<ds:datastoreItem xmlns:ds="http://schemas.openxmlformats.org/officeDocument/2006/customXml" ds:itemID="{85FC639F-8000-4EBC-9395-15718FACF4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6b4ca0-b3e9-4ac7-86f3-d5dbfa885a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Test Cases</vt:lpstr>
      <vt:lpstr>CreateUser</vt:lpstr>
      <vt:lpstr>UpdateUser</vt:lpstr>
      <vt:lpstr>DeleteUser</vt:lpstr>
      <vt:lpstr>GetMyInfo</vt:lpstr>
      <vt:lpstr>GetUser</vt:lpstr>
      <vt:lpstr>Test Statistics</vt:lpstr>
      <vt:lpstr>Crop Management</vt:lpstr>
    </vt:vector>
  </TitlesOfParts>
  <Manager/>
  <Company>FSOFT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Kien Nguyen</dc:creator>
  <cp:keywords/>
  <dc:description>Updates sheet Cover: Add logo, document code, creator, reviewer/approver._x000d_
Add sheet Test Case List._x000d_
Change Sheet Company, User, Provider to Modules. Add column Inter-test case dependent. Update these sheets._x000d_
Update Test Report</dc:description>
  <cp:lastModifiedBy>Lưu Võ Hoàng</cp:lastModifiedBy>
  <cp:revision/>
  <dcterms:created xsi:type="dcterms:W3CDTF">2020-03-17T17:34:29Z</dcterms:created>
  <dcterms:modified xsi:type="dcterms:W3CDTF">2025-11-14T04:37:08Z</dcterms:modified>
  <cp:category>BM</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0x010100E906AAE22E7B8A4AAA8941ED7F663AA3</vt:lpwstr>
  </property>
</Properties>
</file>